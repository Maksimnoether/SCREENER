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/>
  <workbookPr defaultThemeVersion="124226"/>
  <mc:AlternateContent xmlns:mc="http://schemas.openxmlformats.org/markup-compatibility/2006">
    <mc:Choice Requires="x15">
      <x15ac:absPath xmlns:x15ac="http://schemas.microsoft.com/office/spreadsheetml/2010/11/ac" url="R:\Victor y Fede\ANALISIS\SCREENERS\"/>
    </mc:Choice>
  </mc:AlternateContent>
  <xr:revisionPtr revIDLastSave="0" documentId="13_ncr:1_{98923D7C-34A1-43DA-B2D6-F7F9F1675C35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Generador" sheetId="1" r:id="rId1"/>
    <sheet name="Hoja1" sheetId="4" r:id="rId2"/>
    <sheet name="Imput" sheetId="2" r:id="rId3"/>
    <sheet name="Output" sheetId="3" r:id="rId4"/>
  </sheets>
  <definedNames>
    <definedName name="_xlnm._FilterDatabase" localSheetId="0" hidden="1">Generador!$B$13:$Z$13</definedName>
    <definedName name="_xlnm._FilterDatabase" localSheetId="3" hidden="1">Output!$B$3:$AC$310</definedName>
  </definedNames>
  <calcPr calcId="181029"/>
  <fileRecoveryPr repairLoad="1"/>
</workbook>
</file>

<file path=xl/calcChain.xml><?xml version="1.0" encoding="utf-8"?>
<calcChain xmlns="http://schemas.openxmlformats.org/spreadsheetml/2006/main">
  <c r="C12" i="2" l="1"/>
  <c r="C3" i="1"/>
  <c r="C27" i="2"/>
  <c r="C13" i="2"/>
  <c r="C16" i="2"/>
  <c r="C26" i="2"/>
  <c r="C18" i="2"/>
  <c r="C21" i="2"/>
  <c r="C23" i="2"/>
  <c r="C15" i="2"/>
  <c r="C29" i="2"/>
  <c r="C28" i="2"/>
  <c r="C19" i="2"/>
  <c r="C24" i="2"/>
  <c r="C25" i="2"/>
  <c r="C14" i="2"/>
  <c r="C20" i="2"/>
  <c r="C11" i="2"/>
  <c r="C22" i="2"/>
  <c r="C17" i="2"/>
  <c r="C46" i="2" l="1"/>
  <c r="C44" i="2"/>
  <c r="H35" i="2"/>
  <c r="C49" i="2" l="1"/>
  <c r="B10" i="1" s="1"/>
  <c r="E29" i="2"/>
  <c r="E28" i="2" l="1"/>
  <c r="E27" i="2" l="1"/>
  <c r="E26" i="2" l="1"/>
  <c r="E25" i="2" l="1"/>
  <c r="E24" i="2" l="1"/>
  <c r="E23" i="2" l="1"/>
  <c r="E22" i="2" l="1"/>
  <c r="E21" i="2" l="1"/>
  <c r="E20" i="2" l="1"/>
  <c r="E19" i="2" l="1"/>
  <c r="E18" i="2" l="1"/>
  <c r="E17" i="2" l="1"/>
  <c r="E16" i="2" l="1"/>
  <c r="E15" i="2" l="1"/>
  <c r="E14" i="2" l="1"/>
  <c r="E13" i="2" l="1"/>
  <c r="E12" i="2" l="1"/>
  <c r="E11" i="2" l="1"/>
  <c r="H11" i="2" s="1"/>
  <c r="H12" i="2" s="1"/>
  <c r="H13" i="2" s="1"/>
  <c r="H14" i="2" s="1"/>
  <c r="H15" i="2" s="1"/>
  <c r="H16" i="2" s="1"/>
  <c r="H17" i="2" s="1"/>
  <c r="H18" i="2" s="1"/>
  <c r="H19" i="2" s="1"/>
  <c r="H20" i="2" s="1"/>
  <c r="H21" i="2" s="1"/>
  <c r="H22" i="2" s="1"/>
  <c r="H23" i="2" s="1"/>
  <c r="H24" i="2" s="1"/>
  <c r="H25" i="2" s="1"/>
  <c r="H26" i="2" s="1"/>
  <c r="H27" i="2" s="1"/>
  <c r="H28" i="2" s="1"/>
  <c r="H32" i="2" s="1"/>
  <c r="H34" i="2" s="1"/>
</calcChain>
</file>

<file path=xl/sharedStrings.xml><?xml version="1.0" encoding="utf-8"?>
<sst xmlns="http://schemas.openxmlformats.org/spreadsheetml/2006/main" count="3632" uniqueCount="1065">
  <si>
    <t>LET(#ROCE0=EBIT(FA_ADJUSTED=Y,FPT=A,FPO=0)/(TOTAL_EQUITY(FPT=A,FPO=0)+NET_DEBT(FPT=A,FPO=0)-BS_GOODWILL(FPT=A,FPO=0));#ROCE1=EBIT(FA_ADJUSTED=Y,FPT=A,FPO=-1)/(TOTAL_EQUITY(FPT=A,FPO=-1)+NET_DEBT(FPT=A,FPO=-1)-BS_GOODWILL(FPT=A,FPO=-1));#ROCE2=EBIT(FA_ADJUSTED=Y,FPT=A,FPO=-2)/(TOTAL_EQUITY(FPT=A,FPO=-2)+NET_DEBT(FPT=A,FPO=-2)-BS_GOODWILL(FPT=A,FPO=-2));#ROCE3=EBIT(FA_ADJUSTED=Y,FPT=A,FPO=-3)/(TOTAL_EQUITY(FPT=A,FPO=-3)+NET_DEBT(FPT=A,FPO=-3)-BS_GOODWILL(FPT=A,FPO=-3));#ROCE4=EBIT(FA_ADJUSTED=Y,FPT=A,FPO=-4)/(TOTAL_EQUITY(FPT=A,FPO=-4)+NET_DEBT(FPT=A,FPO=-4)-BS_GOODWILL(FPT=A,FPO=-4));#ROCEG0=EBIT(FA_ADJUSTED=Y,FPT=A,FPO=0)/(TOTAL_EQUITY(FPT=A,FPO=0)+NET_DEBT(FPT=A,FPO=0));#ROCEG1=EBIT(FA_ADJUSTED=Y,FPT=A,FPO=-1)/(TOTAL_EQUITY(FPT=A,FPO=-1)+NET_DEBT(FPT=A,FPO=-1));#ROCEG2=EBIT(FA_ADJUSTED=Y,FPT=A,FPO=-2)/(TOTAL_EQUITY(FPT=A,FPO=-2)+NET_DEBT(FPT=A,FPO=-2));#ROCEG3=EBIT(FA_ADJUSTED=Y,FPT=A,FPO=-3)/(TOTAL_EQUITY(FPT=A,FPO=-3)+NET_DEBT(FPT=A,FPO=-3));#ROCEG4=EBIT(FA_ADJUSTED=Y,FPT=A,FPO=-4)/(TOTAL_EQUITY(FPT=A,FPO=-4)+NET_DEBT(FPT=A,FPO=-4));#EBITDA_MARGIN0=EBITDA_MARGIN(FA_ADJUSTED=Y,FPT=A,FPO=0);#EBITDA_MARGIN1=EBITDA_MARGIN(FA_ADJUSTED=Y,FPT=A,FPO=-1);#EBITDA_MARGIN2=EBITDA_MARGIN(FA_ADJUSTED=Y,FPT=A,FPO=-2);#EBITDA_MARGIN3=EBITDA_MARGIN(FA_ADJUSTED=Y,FPT=A,FPO=-3);#EBITDA_MARGIN4=EBITDA_MARGIN(FA_ADJUSTED=Y,FPT=A,FPO=-4);#CE=TOTAL_EQUITY(FPT=A,FPO=0)+NET_DEBT(FPT=A,FPO=0)-BS_GOODWILL(FPT=A,FPO=0);#CEG=TOTAL_EQUITY(FPT=A,FPO=0)+NET_DEBT(FPT=A,FPO=0);)</t>
  </si>
  <si>
    <t>ROCE 5Y</t>
  </si>
  <si>
    <t>ROCE LY</t>
  </si>
  <si>
    <t>ROCE with Goodwill 5Y</t>
  </si>
  <si>
    <t>ROCE with Goodwill LY</t>
  </si>
  <si>
    <t>ROE</t>
  </si>
  <si>
    <t>EBITDA Margin 5Y</t>
  </si>
  <si>
    <t>EBITDA Margin LY</t>
  </si>
  <si>
    <t>Net Debt/Assets ex Goodwill</t>
  </si>
  <si>
    <t>Net Debt/EBITDA</t>
  </si>
  <si>
    <t>Equity/Assets</t>
  </si>
  <si>
    <t>Interest Expense</t>
  </si>
  <si>
    <t>Revenue Growth</t>
  </si>
  <si>
    <t>Capital Employed</t>
  </si>
  <si>
    <t>Capital Employed with GW</t>
  </si>
  <si>
    <t>Market Cap</t>
  </si>
  <si>
    <t>EV/EBITDA</t>
  </si>
  <si>
    <t>EV/EBIT</t>
  </si>
  <si>
    <t>FCF Yield</t>
  </si>
  <si>
    <t>PER</t>
  </si>
  <si>
    <t>P/B</t>
  </si>
  <si>
    <t>Sector</t>
  </si>
  <si>
    <t>Group</t>
  </si>
  <si>
    <t>Subgroup</t>
  </si>
  <si>
    <t>CNTRY_OF_DOMICILE</t>
  </si>
  <si>
    <r>
      <t xml:space="preserve">FOR(filter(equitiesuniv(['active','primary']),(CNTRY_OF_DOMICILE=='DE' OR CNTRY_OF_DOMICILE=='ES' OR CNTRY_OF_DOMICILE=='IT') </t>
    </r>
    <r>
      <rPr>
        <b/>
        <sz val="11"/>
        <color theme="1"/>
        <rFont val="Calibri"/>
        <family val="2"/>
        <scheme val="minor"/>
      </rPr>
      <t>AND CUR_MKT_CAP &gt;0.6B))with(mode=cached)</t>
    </r>
  </si>
  <si>
    <t>PND CY Equity</t>
  </si>
  <si>
    <t>TAL1T ET Equity</t>
  </si>
  <si>
    <t>SAF1R LG Equity</t>
  </si>
  <si>
    <t>SAB1L LH Equity</t>
  </si>
  <si>
    <t>EQUAMVA LX equity</t>
  </si>
  <si>
    <t>BOV MV Equity</t>
  </si>
  <si>
    <t>SRA SK Equity</t>
  </si>
  <si>
    <t>KRKG SV Equity</t>
  </si>
  <si>
    <t>FOR(filter(equitiesuniv(['active','primary']),(CNTRY_OF_DOMICILE=='KR') AND CUR_MKT_CAP &gt;100B))with(mode=cached)</t>
  </si>
  <si>
    <t>FOR(filter(equitiesuniv(['active','primary']),(CNTRY_OF_DOMICILE=='CA') AND CUR_MKT_CAP &gt;1.0B))with(mode=cached)</t>
  </si>
  <si>
    <t>COUNTRY</t>
  </si>
  <si>
    <t>MARKET CAP</t>
  </si>
  <si>
    <t>TICKER</t>
  </si>
  <si>
    <t>FOR(filter(equitiesuniv(['active','primary']),(CNTRY_OF_DOMICILE=='</t>
  </si>
  <si>
    <t>') AND CUR_MKT_CAP &gt;</t>
  </si>
  <si>
    <t>Si se introduce un ticker de una compañía, la fórmula devuelve el CNTRY_OF_DOMICILE</t>
  </si>
  <si>
    <t>Se introduce el CNTRY_OF_DOMICILE del país en el que queremos buscar</t>
  </si>
  <si>
    <t>B))with(mode=cached)</t>
  </si>
  <si>
    <t>Se introduce el market cap mínimo a partir del cual queremos filtrar en billions (utiliza divisa origen y hay que poner los decimales con un punto . )</t>
  </si>
  <si>
    <t>(#ROCE0().value+#ROCE1().value+#ROCE2().value+#ROCE3().value+#ROCE4().value)/5</t>
  </si>
  <si>
    <t>#ROCE0().value</t>
  </si>
  <si>
    <t>(#ROCEG0().value+#ROCEG1().value+#ROCEG2().value+#ROCEG3().value+#ROCEG4().value)/5</t>
  </si>
  <si>
    <t>#ROCEG0().value</t>
  </si>
  <si>
    <t>RETURN_COM_EQY().value</t>
  </si>
  <si>
    <t>(#EBITDA_MARGIN0().value+#EBITDA_MARGIN1().value+#EBITDA_MARGIN2().value+#EBITDA_MARGIN3().value+#EBITDA_MARGIN4().value)/5</t>
  </si>
  <si>
    <t>#EBITDA_MARGIN0().value</t>
  </si>
  <si>
    <t>NET_DEBT().value/(BS_TOT_ASSET().value-BS_GOODWILL().value)</t>
  </si>
  <si>
    <t>NET_DEBT().value/EBITDA().value</t>
  </si>
  <si>
    <t>TOTAL_EQUITY().value/BS_TOT_ASSET().value</t>
  </si>
  <si>
    <t>IS_INT_EXPENSE().value/SHORT_AND_LONG_TERM_DEBT().value</t>
  </si>
  <si>
    <t>SALES_5YR_AVG_GR().value</t>
  </si>
  <si>
    <t>#CE().value</t>
  </si>
  <si>
    <t>#CEG().value</t>
  </si>
  <si>
    <t>MARKET_CAP().value</t>
  </si>
  <si>
    <t>CURRENT_EV_TO_T12M_EBITDA().value</t>
  </si>
  <si>
    <t>CURRENT_EV_TO_T12M_EBIT().value</t>
  </si>
  <si>
    <t>FREE_CASH_FLOW_YIELD().value</t>
  </si>
  <si>
    <t>PE_RATIO().value</t>
  </si>
  <si>
    <t>PX_TO_BOOK_RATIO().value</t>
  </si>
  <si>
    <t>Basic Materials</t>
  </si>
  <si>
    <t>Financial</t>
  </si>
  <si>
    <t>Banks</t>
  </si>
  <si>
    <t>Commer Banks Non-US</t>
  </si>
  <si>
    <t>Energy</t>
  </si>
  <si>
    <t>Energy-Alternate Sources</t>
  </si>
  <si>
    <t>Communications</t>
  </si>
  <si>
    <t>Insurance</t>
  </si>
  <si>
    <t>Consumer, Non-cyclical</t>
  </si>
  <si>
    <t>Beverages</t>
  </si>
  <si>
    <t>Telecommunications</t>
  </si>
  <si>
    <t>Consumer, Cyclical</t>
  </si>
  <si>
    <t>Industrial</t>
  </si>
  <si>
    <t>Real Estate</t>
  </si>
  <si>
    <t>Chemicals</t>
  </si>
  <si>
    <t>Chemicals-Specialty</t>
  </si>
  <si>
    <t>Utilities</t>
  </si>
  <si>
    <t>Retail</t>
  </si>
  <si>
    <t>Miscellaneous Manufactur</t>
  </si>
  <si>
    <t>Diversified Finan Serv</t>
  </si>
  <si>
    <t>Building Materials</t>
  </si>
  <si>
    <t>Private Equity</t>
  </si>
  <si>
    <t>Electric</t>
  </si>
  <si>
    <t>Electric-Generation</t>
  </si>
  <si>
    <t>Entertainment</t>
  </si>
  <si>
    <t>Engineering&amp;Construction</t>
  </si>
  <si>
    <t>Technology</t>
  </si>
  <si>
    <t>Computers</t>
  </si>
  <si>
    <t>Computer Services</t>
  </si>
  <si>
    <t>Software</t>
  </si>
  <si>
    <t>Distribution/Wholesale</t>
  </si>
  <si>
    <t>Pharmaceuticals</t>
  </si>
  <si>
    <t>Machinery-Diversified</t>
  </si>
  <si>
    <t>Biotechnology</t>
  </si>
  <si>
    <t>Medical-Biomedical/Gene</t>
  </si>
  <si>
    <t>Commercial Services</t>
  </si>
  <si>
    <t>Internet</t>
  </si>
  <si>
    <t>Transportation</t>
  </si>
  <si>
    <t>Property/Casualty Ins</t>
  </si>
  <si>
    <t>Medical-Drugs</t>
  </si>
  <si>
    <t>Building&amp;Construct-Misc</t>
  </si>
  <si>
    <t>Funds</t>
  </si>
  <si>
    <t>Equity Fund</t>
  </si>
  <si>
    <t>Closed-end Funds</t>
  </si>
  <si>
    <t>Multi-line Insurance</t>
  </si>
  <si>
    <t>Investment Companies</t>
  </si>
  <si>
    <t>Electronics</t>
  </si>
  <si>
    <t>Transport-Services</t>
  </si>
  <si>
    <t>Airport Develop/Maint</t>
  </si>
  <si>
    <t>Bldg&amp;Construct Prod-Misc</t>
  </si>
  <si>
    <t>E-Commerce/Services</t>
  </si>
  <si>
    <t>GET(NAME().value,(#ROCE0().value+#ROCE1().value+#ROCE2().value+#ROCE3().value+#ROCE4().value)/5,#ROCE0().value,(#ROCEG0().value+#ROCEG1().value+#ROCEG2().value+#ROCEG3().value+#ROCEG4().value)/5,#ROCEG0().value,RETURN_COM_EQY().value,(#EBITDA_MARGIN0().value+#EBITDA_MARGIN1().value+#EBITDA_MARGIN2().value+#EBITDA_MARGIN3().value+#EBITDA_MARGIN4().value)/5,#EBITDA_MARGIN0().value,NET_DEBT().value/(BS_TOT_ASSET().value-BS_GOODWILL().value),NET_DEBT().value/EBITDA().value,TOTAL_EQUITY().value/BS_TOT_ASSET().value,IS_INT_EXPENSE().value/SHORT_AND_LONG_TERM_DEBT().value,SALES_5YR_AVG_GR().value,#CE().value,#CEG().value,MARKET_CAP().value,CURRENT_EV_TO_T12M_EBITDA().value,CURRENT_EV_TO_T12M_EBIT().value,FREE_CASH_FLOW_YIELD().value,PE_RATIO().value,PX_TO_BOOK_RATIO().value,INDUSTRY_SECTOR().value,INDUSTRY_GROUP().value,INDUSTRY_SUBGROUP().value)</t>
  </si>
  <si>
    <t>NAME().value</t>
  </si>
  <si>
    <t>INDUSTRY_SECTOR().value</t>
  </si>
  <si>
    <t>INDUSTRY_GROUP().value</t>
  </si>
  <si>
    <t>INDUSTRY_SUBGROUP().value</t>
  </si>
  <si>
    <t>Real Estate Oper/Development</t>
  </si>
  <si>
    <t>NAME</t>
  </si>
  <si>
    <t>Real Estate Mgmnt/Services</t>
  </si>
  <si>
    <t>Human Resources</t>
  </si>
  <si>
    <t>Engineering/R&amp;D Services</t>
  </si>
  <si>
    <t>Computer Software</t>
  </si>
  <si>
    <t>Agriculture</t>
  </si>
  <si>
    <t>Agricultural Operations</t>
  </si>
  <si>
    <t>Environmental Control</t>
  </si>
  <si>
    <t>Transport-Marine</t>
  </si>
  <si>
    <t>Home Builders</t>
  </si>
  <si>
    <t>Bldg-Residential/Commer</t>
  </si>
  <si>
    <t>Entertainment Software</t>
  </si>
  <si>
    <t>DNP PW Equity</t>
  </si>
  <si>
    <t>1089Z RO Equity</t>
  </si>
  <si>
    <t>CEZ CP Equity</t>
  </si>
  <si>
    <t>ETE GA Equity</t>
  </si>
  <si>
    <t>MOL HB Equity</t>
  </si>
  <si>
    <t>HPB CZ Equity</t>
  </si>
  <si>
    <t>EUBG BU Equity</t>
  </si>
  <si>
    <t>0162809D SG Equity</t>
  </si>
  <si>
    <t>TECG ME  Equity</t>
  </si>
  <si>
    <t>CAPILTI MN Equity</t>
  </si>
  <si>
    <t>1001Z AL Equity</t>
  </si>
  <si>
    <t>Diversified</t>
  </si>
  <si>
    <t>Holding Companies-Divers</t>
  </si>
  <si>
    <t>Diversified Operations</t>
  </si>
  <si>
    <t>Gas</t>
  </si>
  <si>
    <t>Mining</t>
  </si>
  <si>
    <t>Cellular Telecom</t>
  </si>
  <si>
    <t>Invest Mgmnt/Advis Serv</t>
  </si>
  <si>
    <t>Telephone-Integrated</t>
  </si>
  <si>
    <t>Lodging</t>
  </si>
  <si>
    <t>Medical-Generic Drugs</t>
  </si>
  <si>
    <t>Building-Heavy Construct</t>
  </si>
  <si>
    <t>Iron/Steel</t>
  </si>
  <si>
    <t>Telecom Services</t>
  </si>
  <si>
    <t>Vitamins&amp;Nutrition Prod</t>
  </si>
  <si>
    <t>Oil&amp;Gas</t>
  </si>
  <si>
    <t>Oil Refining&amp;Marketing</t>
  </si>
  <si>
    <t>Chemicals-Diversified</t>
  </si>
  <si>
    <t>Auto Parts&amp;Equipment</t>
  </si>
  <si>
    <t>Auto/Trk Prts&amp;Equip-Orig</t>
  </si>
  <si>
    <t>Metal-Diversified</t>
  </si>
  <si>
    <t>Finance-Other Services</t>
  </si>
  <si>
    <t>E-Commerce/Products</t>
  </si>
  <si>
    <t>Apparel</t>
  </si>
  <si>
    <t>Agricultural Chemicals</t>
  </si>
  <si>
    <t>Food</t>
  </si>
  <si>
    <t>Electric-Distribution</t>
  </si>
  <si>
    <t>Retail-Apparel/Shoe</t>
  </si>
  <si>
    <t>Metal-Aluminum</t>
  </si>
  <si>
    <t>Life/Health Insurance</t>
  </si>
  <si>
    <t>Security Services</t>
  </si>
  <si>
    <t>Petrochemicals</t>
  </si>
  <si>
    <t>REITS</t>
  </si>
  <si>
    <t>Household Products/Wares</t>
  </si>
  <si>
    <t>Consumer Products-Misc</t>
  </si>
  <si>
    <t>Country Fund-U.S.</t>
  </si>
  <si>
    <t>Healthcare-Services</t>
  </si>
  <si>
    <t>Aerospace/Defense</t>
  </si>
  <si>
    <t>Finance-Mtge Loan/Banker</t>
  </si>
  <si>
    <t>Apparel Manufacturers</t>
  </si>
  <si>
    <t>Forest Products&amp;Paper</t>
  </si>
  <si>
    <t>Paper&amp;Related Products</t>
  </si>
  <si>
    <t>Oil Comp-Explor&amp;Prodtn</t>
  </si>
  <si>
    <t>Food-Retail</t>
  </si>
  <si>
    <t>Beverages-Non-alcoholic</t>
  </si>
  <si>
    <t>Hotels&amp;Motels</t>
  </si>
  <si>
    <t>Ceramic Products</t>
  </si>
  <si>
    <t>Computers-Integrated Sys</t>
  </si>
  <si>
    <t>Food-Misc/Diversified</t>
  </si>
  <si>
    <t>Electronic Measur Instr</t>
  </si>
  <si>
    <t>Rubber/Plastic Products</t>
  </si>
  <si>
    <t>Bldg Prod-Cement/Aggreg</t>
  </si>
  <si>
    <t>Textiles</t>
  </si>
  <si>
    <t>Textile-Products</t>
  </si>
  <si>
    <t>Industrial Automat/Robot</t>
  </si>
  <si>
    <t>Electrical Compo&amp;Equip</t>
  </si>
  <si>
    <t>Medical-Whsle Drug Dist</t>
  </si>
  <si>
    <t>Bldg Prod-Wood</t>
  </si>
  <si>
    <t>REITS-Apartments</t>
  </si>
  <si>
    <t>Healthcare-Products</t>
  </si>
  <si>
    <t>Medical Products</t>
  </si>
  <si>
    <t>Electric Products-Misc</t>
  </si>
  <si>
    <t>Gas-Distribution</t>
  </si>
  <si>
    <t>Retail-Discount</t>
  </si>
  <si>
    <t>Finance-Commercial</t>
  </si>
  <si>
    <t>Leisure Time</t>
  </si>
  <si>
    <t>Travel Services</t>
  </si>
  <si>
    <t>Leisure&amp;Rec Products</t>
  </si>
  <si>
    <t>Applications Software</t>
  </si>
  <si>
    <t>Telecommunication Equip</t>
  </si>
  <si>
    <t>Electronic Compo-Misc</t>
  </si>
  <si>
    <t>Diversified Manufact Op</t>
  </si>
  <si>
    <t>Semiconductors</t>
  </si>
  <si>
    <t>Semiconductor Equipment</t>
  </si>
  <si>
    <t>Food-Meat Products</t>
  </si>
  <si>
    <t>Retail-Automobile</t>
  </si>
  <si>
    <t>Advertising</t>
  </si>
  <si>
    <t>Advertising Services</t>
  </si>
  <si>
    <t>Electronic Compo-Semicon</t>
  </si>
  <si>
    <t>Retail-Misc/Diversified</t>
  </si>
  <si>
    <t>Chemicals-Plastics</t>
  </si>
  <si>
    <t>Circuit Boards</t>
  </si>
  <si>
    <t>Wireless Equipment</t>
  </si>
  <si>
    <t>Recreational Centers</t>
  </si>
  <si>
    <t>Electronic Secur Devices</t>
  </si>
  <si>
    <t>Internet Applic Sftwr</t>
  </si>
  <si>
    <t>Enterprise Software/Serv</t>
  </si>
  <si>
    <t>Food-Baking</t>
  </si>
  <si>
    <t>Retail-Petroleum Prod</t>
  </si>
  <si>
    <t>Computer Data Security</t>
  </si>
  <si>
    <t>Airlines</t>
  </si>
  <si>
    <t>Oil&amp;Gas Drilling</t>
  </si>
  <si>
    <t>REITS-Diversified</t>
  </si>
  <si>
    <t>Finance-Credit Card</t>
  </si>
  <si>
    <t>Venture Capital</t>
  </si>
  <si>
    <t>Food-Canned</t>
  </si>
  <si>
    <t>Photo Equipment&amp;Supplies</t>
  </si>
  <si>
    <t>Internet Financial Svcs</t>
  </si>
  <si>
    <t>Aerospace/Defense-Equip</t>
  </si>
  <si>
    <t>Machinery-Print Trade</t>
  </si>
  <si>
    <t>Metal-Iron</t>
  </si>
  <si>
    <t>Shipbuilding</t>
  </si>
  <si>
    <t>Finance-Auto Loans</t>
  </si>
  <si>
    <t>Medical-Outptnt/Home Med</t>
  </si>
  <si>
    <t>REITS-Shopping Centers</t>
  </si>
  <si>
    <t>Retirement/Aged Care</t>
  </si>
  <si>
    <t>Non-hazardous Waste Disp</t>
  </si>
  <si>
    <t>CHKP US</t>
  </si>
  <si>
    <t>IL</t>
  </si>
  <si>
    <t>ILDC IT Equity</t>
  </si>
  <si>
    <t>Israel Land Development Co Ltd</t>
  </si>
  <si>
    <t>FORTY IT Equity</t>
  </si>
  <si>
    <t>Formula Systems 1985 Ltd</t>
  </si>
  <si>
    <t>Decision Support Software</t>
  </si>
  <si>
    <t>SMT IT Equity</t>
  </si>
  <si>
    <t>Summit Real Estate Holdings Lt</t>
  </si>
  <si>
    <t>ISRO IT Equity</t>
  </si>
  <si>
    <t>Isrotel Ltd</t>
  </si>
  <si>
    <t>AVRT IT Equity</t>
  </si>
  <si>
    <t>Avrot Industries Ltd</t>
  </si>
  <si>
    <t>AURA IT Equity</t>
  </si>
  <si>
    <t>Aura Investments Ltd</t>
  </si>
  <si>
    <t>AVER IT Equity</t>
  </si>
  <si>
    <t>Averbuch Formica Center Ltd</t>
  </si>
  <si>
    <t>FIBIH IT Equity</t>
  </si>
  <si>
    <t>FIBI Holdings Ltd</t>
  </si>
  <si>
    <t>CDEV IT Equity</t>
  </si>
  <si>
    <t>Cohen Development Gas &amp; Oil Lt</t>
  </si>
  <si>
    <t>ALHE IT Equity</t>
  </si>
  <si>
    <t>Alony Hetz Properties &amp; Invest</t>
  </si>
  <si>
    <t>CAST IT Equity</t>
  </si>
  <si>
    <t>Castro Model Ltd</t>
  </si>
  <si>
    <t>KAFR IT Equity</t>
  </si>
  <si>
    <t>Kafrit Industries 1993 Ltd</t>
  </si>
  <si>
    <t>BLRX IT Equity</t>
  </si>
  <si>
    <t>BioLine RX Ltd</t>
  </si>
  <si>
    <t>DANH IT Equity</t>
  </si>
  <si>
    <t>DAN Hotels Corp Ltd</t>
  </si>
  <si>
    <t>ASGR IT Equity</t>
  </si>
  <si>
    <t>Aspen Group Ltd</t>
  </si>
  <si>
    <t>CMDR IT Equity</t>
  </si>
  <si>
    <t>Computer Direct Group Ltd</t>
  </si>
  <si>
    <t>DANE IT Equity</t>
  </si>
  <si>
    <t>Danel Adir Yeoshua Ltd</t>
  </si>
  <si>
    <t>FBRT IT Equity</t>
  </si>
  <si>
    <t>FMS Enterprises Migun Ltd</t>
  </si>
  <si>
    <t>DELG IT Equity</t>
  </si>
  <si>
    <t>Delta Galil Ltd</t>
  </si>
  <si>
    <t>GSFI IT Equity</t>
  </si>
  <si>
    <t>GAN Shmuel Foods Ltd</t>
  </si>
  <si>
    <t>ENLT IT Equity</t>
  </si>
  <si>
    <t>Enlight Renewable Energy Ltd</t>
  </si>
  <si>
    <t>NTGR IT Equity</t>
  </si>
  <si>
    <t>Netanel Group Ltd</t>
  </si>
  <si>
    <t>ROTS IT Equity</t>
  </si>
  <si>
    <t>D Rotshtein Realestate Ltd</t>
  </si>
  <si>
    <t>ELTR IT Equity</t>
  </si>
  <si>
    <t>Electra Ltd/Israel</t>
  </si>
  <si>
    <t>SHOM IT Equity</t>
  </si>
  <si>
    <t>E.N Shoham Business Ltd</t>
  </si>
  <si>
    <t>LEVI IT Equity</t>
  </si>
  <si>
    <t>Meshulam Levinstein Contractin</t>
  </si>
  <si>
    <t>JBNK IT Equity</t>
  </si>
  <si>
    <t>Bank of Jerusalem Ltd</t>
  </si>
  <si>
    <t>ELWS IT Equity</t>
  </si>
  <si>
    <t>Electreon Wireless Ltd</t>
  </si>
  <si>
    <t>EMCO IT Equity</t>
  </si>
  <si>
    <t>E&amp;M Computing Ltd</t>
  </si>
  <si>
    <t>TTAM IT Equity</t>
  </si>
  <si>
    <t>Tiv Taam Holdings 1 Ltd</t>
  </si>
  <si>
    <t>GVYM IT Equity</t>
  </si>
  <si>
    <t>Gav-Yam Lands Corp Ltd</t>
  </si>
  <si>
    <t>IES IT Equity</t>
  </si>
  <si>
    <t>IES Holdings Ltd</t>
  </si>
  <si>
    <t>ISCN IT Equity</t>
  </si>
  <si>
    <t>Israel Canada T.R Ltd</t>
  </si>
  <si>
    <t>AZRM IT Equity</t>
  </si>
  <si>
    <t>Azorim-Investment Development</t>
  </si>
  <si>
    <t>KNFM IT Equity</t>
  </si>
  <si>
    <t>Knafaim Holdings Ltd</t>
  </si>
  <si>
    <t>ISRA IT Equity</t>
  </si>
  <si>
    <t>Isramco Negev 2 LP</t>
  </si>
  <si>
    <t>PHOE IT Equity</t>
  </si>
  <si>
    <t>Phoenix Holdings Ltd/The</t>
  </si>
  <si>
    <t>RATI IT Equity</t>
  </si>
  <si>
    <t>Ratio Energies Finance LP</t>
  </si>
  <si>
    <t>GOLD IT Equity</t>
  </si>
  <si>
    <t>Gold Bond Group Ltd/The</t>
  </si>
  <si>
    <t>LAHAV IT Equity</t>
  </si>
  <si>
    <t>Lahav L.R. Real Estate Ltd</t>
  </si>
  <si>
    <t>VILR IT Equity</t>
  </si>
  <si>
    <t>Villar International Ltd</t>
  </si>
  <si>
    <t>PAYT IT Equity</t>
  </si>
  <si>
    <t>Payton Industries Ltd</t>
  </si>
  <si>
    <t>SRFT IT Equity</t>
  </si>
  <si>
    <t>Zvi Sarfati &amp; Sons Investments</t>
  </si>
  <si>
    <t>ICL IT Equity</t>
  </si>
  <si>
    <t>ICL Group Ltd</t>
  </si>
  <si>
    <t>CHKP US Equity</t>
  </si>
  <si>
    <t>Check Point Software Technolog</t>
  </si>
  <si>
    <t>POLI IT Equity</t>
  </si>
  <si>
    <t>Bank Hapoalim BM</t>
  </si>
  <si>
    <t>AYAL IT Equity</t>
  </si>
  <si>
    <t>Ayalon Holdings Ltd</t>
  </si>
  <si>
    <t>ANLT IT Equity</t>
  </si>
  <si>
    <t>Analyst IMS Investment Managem</t>
  </si>
  <si>
    <t>ILX IT Equity</t>
  </si>
  <si>
    <t>Ilex Medical Ltd</t>
  </si>
  <si>
    <t>RIT1 IT Equity</t>
  </si>
  <si>
    <t>Reit 1 Ltd</t>
  </si>
  <si>
    <t>STRS IT Equity</t>
  </si>
  <si>
    <t>Strauss Group Ltd</t>
  </si>
  <si>
    <t>EMDV IT Equity</t>
  </si>
  <si>
    <t>Emilia Development Ltd</t>
  </si>
  <si>
    <t>ISRS IT Equity</t>
  </si>
  <si>
    <t>Isras Investment Co Ltd</t>
  </si>
  <si>
    <t>DSCT IT Equity</t>
  </si>
  <si>
    <t>Israel Discount Bank Ltd</t>
  </si>
  <si>
    <t>ZNKL IT Equity</t>
  </si>
  <si>
    <t>Zanlakol Ltd</t>
  </si>
  <si>
    <t>ELRN IT Equity</t>
  </si>
  <si>
    <t>Elron Ventures Ltd</t>
  </si>
  <si>
    <t>VCTR IT Equity</t>
  </si>
  <si>
    <t>Victory Supermarket Chain Ltd</t>
  </si>
  <si>
    <t>TDRN IT Equity</t>
  </si>
  <si>
    <t>Tadiran Group Ltd</t>
  </si>
  <si>
    <t>Retail-Appliances</t>
  </si>
  <si>
    <t>ELCRE IT Equity</t>
  </si>
  <si>
    <t>Electra Real Estate Ltd</t>
  </si>
  <si>
    <t>HAMAT IT Equity</t>
  </si>
  <si>
    <t>Hamat Group Ltd</t>
  </si>
  <si>
    <t>WLFD IT Equity</t>
  </si>
  <si>
    <t>Willi Food Investments Ltd</t>
  </si>
  <si>
    <t>PLSN IT Equity</t>
  </si>
  <si>
    <t>Plasson Industries Ltd</t>
  </si>
  <si>
    <t>SLARL IT Equity</t>
  </si>
  <si>
    <t>Sella Capital Real Estate Ltd</t>
  </si>
  <si>
    <t>ARPT IT Equity</t>
  </si>
  <si>
    <t>Airport City Ltd</t>
  </si>
  <si>
    <t>NICE IT Equity</t>
  </si>
  <si>
    <t>Nice Ltd</t>
  </si>
  <si>
    <t>NFTA IT Equity</t>
  </si>
  <si>
    <t>Naphtha Israel Petroleum Corp</t>
  </si>
  <si>
    <t>NTO IT Equity</t>
  </si>
  <si>
    <t>Neto ME Holdings Ltd</t>
  </si>
  <si>
    <t>MISH IT Equity</t>
  </si>
  <si>
    <t>Mivtach Shamir Holdings Ltd</t>
  </si>
  <si>
    <t>RDWR US Equity</t>
  </si>
  <si>
    <t>Radware Ltd</t>
  </si>
  <si>
    <t>QLTU IT Equity</t>
  </si>
  <si>
    <t>Qualitau Ltd</t>
  </si>
  <si>
    <t>PCBT IT Equity</t>
  </si>
  <si>
    <t>PCB Technologies Ltd</t>
  </si>
  <si>
    <t>PLRM IT Equity</t>
  </si>
  <si>
    <t>Palram Industries 1990 Ltd</t>
  </si>
  <si>
    <t>LUMI IT Equity</t>
  </si>
  <si>
    <t>Bank Leumi Le-Israel BM</t>
  </si>
  <si>
    <t>BEZQ IT Equity</t>
  </si>
  <si>
    <t>Bezeq The Israeli Telecommunic</t>
  </si>
  <si>
    <t>PZOL IT Equity</t>
  </si>
  <si>
    <t>Paz Oil Co Ltd</t>
  </si>
  <si>
    <t>LAPD IT Equity</t>
  </si>
  <si>
    <t>Lapidoth Capital Ltd</t>
  </si>
  <si>
    <t>HRON IT Equity</t>
  </si>
  <si>
    <t>Hiron Trade Investment IND</t>
  </si>
  <si>
    <t>FOX IT Equity</t>
  </si>
  <si>
    <t>Fox Wizel Ltd</t>
  </si>
  <si>
    <t>MVNE IT Equity</t>
  </si>
  <si>
    <t>Mivne Real Estate KD Ltd</t>
  </si>
  <si>
    <t>MLSR IT Equity</t>
  </si>
  <si>
    <t>Melisron Ltd</t>
  </si>
  <si>
    <t>IBI IT Equity</t>
  </si>
  <si>
    <t>IBI Investment House Ltd</t>
  </si>
  <si>
    <t>NAWI IT Equity</t>
  </si>
  <si>
    <t>Nawi Brothers Ltd</t>
  </si>
  <si>
    <t>ELCO IT Equity</t>
  </si>
  <si>
    <t>Elco Ltd</t>
  </si>
  <si>
    <t>AMRK IT Equity</t>
  </si>
  <si>
    <t>Amir Marketing &amp; Investments i</t>
  </si>
  <si>
    <t>PEN IT Equity</t>
  </si>
  <si>
    <t>Peninsula Group LTD</t>
  </si>
  <si>
    <t>ITRN US Equity</t>
  </si>
  <si>
    <t>Ituran Location and Control Lt</t>
  </si>
  <si>
    <t>ARYT IT Equity</t>
  </si>
  <si>
    <t>Aryt Industries Ltd</t>
  </si>
  <si>
    <t>AVGL IT Equity</t>
  </si>
  <si>
    <t>Avgol Industries 1953 Ltd</t>
  </si>
  <si>
    <t>MSLA IT Equity</t>
  </si>
  <si>
    <t>Maslavi Construction Co Ltd</t>
  </si>
  <si>
    <t>PERI US Equity</t>
  </si>
  <si>
    <t>Perion Network Ltd</t>
  </si>
  <si>
    <t>SLGN IT Equity</t>
  </si>
  <si>
    <t>Solegreen Ltd</t>
  </si>
  <si>
    <t>MTAV IT Equity</t>
  </si>
  <si>
    <t>Meitav Investment House Ltd</t>
  </si>
  <si>
    <t>AFRE IT Equity</t>
  </si>
  <si>
    <t>Africa Israel Residences Ltd</t>
  </si>
  <si>
    <t>SNFL IT Equity</t>
  </si>
  <si>
    <t>Sunflower Sustainable Investme</t>
  </si>
  <si>
    <t>INCR IT Equity</t>
  </si>
  <si>
    <t>Intercure Ltd</t>
  </si>
  <si>
    <t>ARD IT Equity</t>
  </si>
  <si>
    <t>Arad Ltd</t>
  </si>
  <si>
    <t>BIG IT Equity</t>
  </si>
  <si>
    <t>Big Shopping Centers Ltd</t>
  </si>
  <si>
    <t>ABRA IT Equity</t>
  </si>
  <si>
    <t>Abra Information Technologies</t>
  </si>
  <si>
    <t>BSEN IT Equity</t>
  </si>
  <si>
    <t>Bet Shemesh Engines Holdings 1</t>
  </si>
  <si>
    <t>UNIT IT Equity</t>
  </si>
  <si>
    <t>Unitronics</t>
  </si>
  <si>
    <t>EQTL IT Equity</t>
  </si>
  <si>
    <t>Equital Ltd</t>
  </si>
  <si>
    <t>DLEKG IT Equity</t>
  </si>
  <si>
    <t>Delek Group Ltd</t>
  </si>
  <si>
    <t>TIGBUR IT Equity</t>
  </si>
  <si>
    <t>Tigbur-Temporary Professional</t>
  </si>
  <si>
    <t>PTNR IT Equity</t>
  </si>
  <si>
    <t>Partner Communications Co Ltd</t>
  </si>
  <si>
    <t>HLAN IT Equity</t>
  </si>
  <si>
    <t>Hilan Ltd</t>
  </si>
  <si>
    <t>MZTF IT Equity</t>
  </si>
  <si>
    <t>Mizrahi Tefahot Bank Ltd</t>
  </si>
  <si>
    <t>AFHL IT Equity</t>
  </si>
  <si>
    <t>Afcon Holdings Ltd</t>
  </si>
  <si>
    <t>EXPO IT Equity</t>
  </si>
  <si>
    <t>Export Investment Co Ltd</t>
  </si>
  <si>
    <t>BLSR IT Equity</t>
  </si>
  <si>
    <t>Blue Square Real Estate Ltd</t>
  </si>
  <si>
    <t>ALRPR IT Equity</t>
  </si>
  <si>
    <t>Alrov Properties and Lodgings</t>
  </si>
  <si>
    <t>AMOT IT Equity</t>
  </si>
  <si>
    <t>Amot Investments Ltd</t>
  </si>
  <si>
    <t>SNCM IT Equity</t>
  </si>
  <si>
    <t>Suny Cellular Communication Lt</t>
  </si>
  <si>
    <t>BCOM IT Equity</t>
  </si>
  <si>
    <t>B Communications Ltd</t>
  </si>
  <si>
    <t>ILDR IT Equity</t>
  </si>
  <si>
    <t>Israel Land Development Urban</t>
  </si>
  <si>
    <t>ECP IT Equity</t>
  </si>
  <si>
    <t>Electra Consumer Products 1970</t>
  </si>
  <si>
    <t>ISTA IT Equity</t>
  </si>
  <si>
    <t>Issta Ltd</t>
  </si>
  <si>
    <t>MGOR IT Equity</t>
  </si>
  <si>
    <t>Mega Or Holdings Ltd</t>
  </si>
  <si>
    <t>AZRG IT Equity</t>
  </si>
  <si>
    <t>Azrieli Group Ltd</t>
  </si>
  <si>
    <t>TSEM IT Equity</t>
  </si>
  <si>
    <t>Tower Semiconductor Ltd</t>
  </si>
  <si>
    <t>SPNS US Equity</t>
  </si>
  <si>
    <t>Sapiens International Corp NV</t>
  </si>
  <si>
    <t>SAE IT Equity</t>
  </si>
  <si>
    <t>Shufersal Ltd</t>
  </si>
  <si>
    <t>KRUR IT Equity</t>
  </si>
  <si>
    <t>Kerur Holdings Ltd</t>
  </si>
  <si>
    <t>BOTI IT Equity</t>
  </si>
  <si>
    <t>Bonei Hatichon Civil Engineeri</t>
  </si>
  <si>
    <t>CLIS IT Equity</t>
  </si>
  <si>
    <t>Clal Insurance Enterprises Hol</t>
  </si>
  <si>
    <t>ILCO IT Equity</t>
  </si>
  <si>
    <t>Israel Corp Ltd</t>
  </si>
  <si>
    <t>NWMD IT Equity</t>
  </si>
  <si>
    <t>Newmed Energy LP</t>
  </si>
  <si>
    <t>GCT IT Equity</t>
  </si>
  <si>
    <t>G City Ltd</t>
  </si>
  <si>
    <t>HGG IT Equity</t>
  </si>
  <si>
    <t>Hagag Group Real Estate Develo</t>
  </si>
  <si>
    <t>ZUR IT Equity</t>
  </si>
  <si>
    <t>ZUR Shamir Holdings Ltd</t>
  </si>
  <si>
    <t>NSTR IT Equity</t>
  </si>
  <si>
    <t>Norstar Holdings Inc</t>
  </si>
  <si>
    <t>MMHD IT Equity</t>
  </si>
  <si>
    <t>Menora Mivtachim Holdings Ltd</t>
  </si>
  <si>
    <t>SKBN IT Equity</t>
  </si>
  <si>
    <t>Shikun &amp; Binui Ltd</t>
  </si>
  <si>
    <t>SRAC IT Equity</t>
  </si>
  <si>
    <t>S.R Accord Ltd</t>
  </si>
  <si>
    <t>MMAN IT Equity</t>
  </si>
  <si>
    <t>Maman Cargo Terminals &amp; Handli</t>
  </si>
  <si>
    <t>LUZN IT Equity</t>
  </si>
  <si>
    <t>Amos Luzon Development and Ene</t>
  </si>
  <si>
    <t>YBOX IT Equity</t>
  </si>
  <si>
    <t>YBOX Real Estate Ltd</t>
  </si>
  <si>
    <t>DUNI IT Equity</t>
  </si>
  <si>
    <t>Duniec Brothers Ltd</t>
  </si>
  <si>
    <t>APLP IT Equity</t>
  </si>
  <si>
    <t>Apollo Power Ltd</t>
  </si>
  <si>
    <t>TLSY IT Equity</t>
  </si>
  <si>
    <t>Telsys Ltd</t>
  </si>
  <si>
    <t>HOD IT Equity</t>
  </si>
  <si>
    <t>Hod Assaf Industries Ltd</t>
  </si>
  <si>
    <t>SHAN IT Equity</t>
  </si>
  <si>
    <t>Shaniv Paper Industry Ltd</t>
  </si>
  <si>
    <t>ATRY IT Equity</t>
  </si>
  <si>
    <t>Atreyu Capital Markets Ltd</t>
  </si>
  <si>
    <t>MTRX IT Equity</t>
  </si>
  <si>
    <t>Matrix IT Ltd</t>
  </si>
  <si>
    <t>ASHO IT Equity</t>
  </si>
  <si>
    <t>Ashot -Ashkelon Industries Ltd</t>
  </si>
  <si>
    <t>ELAL IT Equity</t>
  </si>
  <si>
    <t>El Al Israel Airlines</t>
  </si>
  <si>
    <t>RIMO IT Equity</t>
  </si>
  <si>
    <t>Rimoni Industries Ltd</t>
  </si>
  <si>
    <t>HARL IT Equity</t>
  </si>
  <si>
    <t>Harel Insurance Investments &amp;</t>
  </si>
  <si>
    <t>MTRN IT Equity</t>
  </si>
  <si>
    <t>Maytronics Ltd</t>
  </si>
  <si>
    <t>ESLT IT Equity</t>
  </si>
  <si>
    <t>Elbit Systems Ltd</t>
  </si>
  <si>
    <t>MGIC US Equity</t>
  </si>
  <si>
    <t>Magic Software Enterprises Ltd</t>
  </si>
  <si>
    <t>AUDC US Equity</t>
  </si>
  <si>
    <t>AudioCodes Ltd</t>
  </si>
  <si>
    <t>DLEA IT Equity</t>
  </si>
  <si>
    <t>Delek Automotive Systems Ltd</t>
  </si>
  <si>
    <t>CEL IT Equity</t>
  </si>
  <si>
    <t>Cellcom Israel Ltd</t>
  </si>
  <si>
    <t>CAMT US Equity</t>
  </si>
  <si>
    <t>Camtek Ltd/Israel</t>
  </si>
  <si>
    <t>ORBI IT Equity</t>
  </si>
  <si>
    <t>Orbit Technologies Ltd</t>
  </si>
  <si>
    <t>ARIN IT Equity</t>
  </si>
  <si>
    <t>Ari Real Estate Arena Investme</t>
  </si>
  <si>
    <t>SCOP IT Equity</t>
  </si>
  <si>
    <t>Scope Metals Group Ltd</t>
  </si>
  <si>
    <t>SPNTC IT Equity</t>
  </si>
  <si>
    <t>NR Spuntech Industries Ltd</t>
  </si>
  <si>
    <t>MEDN IT Equity</t>
  </si>
  <si>
    <t>Mehadrin Ltd</t>
  </si>
  <si>
    <t>PTCH IT Equity</t>
  </si>
  <si>
    <t>Israel Petrochemical Enterpris</t>
  </si>
  <si>
    <t>PRSK IT Equity</t>
  </si>
  <si>
    <t>Prashkovsky Investments and Co</t>
  </si>
  <si>
    <t>DRAL IT Equity</t>
  </si>
  <si>
    <t>Dor Alon Energy in Israel 1988</t>
  </si>
  <si>
    <t>DNYA IT Equity</t>
  </si>
  <si>
    <t>Danya Cebus Ltd</t>
  </si>
  <si>
    <t>PTBL IT Equity</t>
  </si>
  <si>
    <t>Property &amp; Building Corp Ltd</t>
  </si>
  <si>
    <t>FIBI IT Equity</t>
  </si>
  <si>
    <t>First International Bank Of Is</t>
  </si>
  <si>
    <t>SMNR IT Equity</t>
  </si>
  <si>
    <t>Shemen Yielding Real Estate LT</t>
  </si>
  <si>
    <t>ONE IT Equity</t>
  </si>
  <si>
    <t>One Software Technologies Ltd</t>
  </si>
  <si>
    <t>ANGL IT Equity</t>
  </si>
  <si>
    <t>Salomon A Angel Ltd</t>
  </si>
  <si>
    <t>DISI IT Equity</t>
  </si>
  <si>
    <t>Discount Investment Corp Ltd</t>
  </si>
  <si>
    <t>MLTM IT Equity</t>
  </si>
  <si>
    <t>Malam - Team Ltd</t>
  </si>
  <si>
    <t>NVMI US Equity</t>
  </si>
  <si>
    <t>Nova Ltd</t>
  </si>
  <si>
    <t>PRTC IT Equity</t>
  </si>
  <si>
    <t>Priortech Ltd</t>
  </si>
  <si>
    <t>ZMH IT Equity</t>
  </si>
  <si>
    <t>ZMH Hammerman Ltd</t>
  </si>
  <si>
    <t>LVPR IT Equity</t>
  </si>
  <si>
    <t>Levinstein Properties Ltd</t>
  </si>
  <si>
    <t>BWAY IT Equity</t>
  </si>
  <si>
    <t>Brainsway Ltd</t>
  </si>
  <si>
    <t>ORL IT Equity</t>
  </si>
  <si>
    <t>Oil Refineries Ltd</t>
  </si>
  <si>
    <t>ADGR IT Equity</t>
  </si>
  <si>
    <t>Adgar Investment and Developme</t>
  </si>
  <si>
    <t>NTML IT Equity</t>
  </si>
  <si>
    <t>Neto Malinda Trading Ltd</t>
  </si>
  <si>
    <t>RVL IT Equity</t>
  </si>
  <si>
    <t>Raval Ics Ltd</t>
  </si>
  <si>
    <t>KARE IT Equity</t>
  </si>
  <si>
    <t>Kardan Real Estate Enterprise</t>
  </si>
  <si>
    <t>CRSM IT Equity</t>
  </si>
  <si>
    <t>Carasso Motors Ltd</t>
  </si>
  <si>
    <t>ORIN IT Equity</t>
  </si>
  <si>
    <t>Orian SHM Ltd</t>
  </si>
  <si>
    <t>KMDA IT Equity</t>
  </si>
  <si>
    <t>Kamada Ltd</t>
  </si>
  <si>
    <t>DIMRI IT Equity</t>
  </si>
  <si>
    <t>YH Dimri Construction &amp; Develo</t>
  </si>
  <si>
    <t>GLPL IT Equity</t>
  </si>
  <si>
    <t>Golan Plastic Products Ltd</t>
  </si>
  <si>
    <t>AFPR IT Equity</t>
  </si>
  <si>
    <t>AFI Properties Ltd</t>
  </si>
  <si>
    <t>GILT IT Equity</t>
  </si>
  <si>
    <t>Gilat Satellite Networks Ltd</t>
  </si>
  <si>
    <t>TARO US Equity</t>
  </si>
  <si>
    <t>Taro Pharmaceutical Industries</t>
  </si>
  <si>
    <t>ENRG IT Equity</t>
  </si>
  <si>
    <t>Energix-Renewable Energies Ltd</t>
  </si>
  <si>
    <t>RPAC IT Equity</t>
  </si>
  <si>
    <t>Rapac Communication &amp; Infrastr</t>
  </si>
  <si>
    <t>HNMR IT Equity</t>
  </si>
  <si>
    <t>Hanan Mor Group Holdings Ltd</t>
  </si>
  <si>
    <t>SANO1 IT Equity</t>
  </si>
  <si>
    <t>Sano-Brunos Enterprises Ltd</t>
  </si>
  <si>
    <t>TEVA IT Equity</t>
  </si>
  <si>
    <t>Teva Pharmaceutical Industries</t>
  </si>
  <si>
    <t>KLIL IT Equity</t>
  </si>
  <si>
    <t>Klil Industries Ltd</t>
  </si>
  <si>
    <t>RMLI IT Equity</t>
  </si>
  <si>
    <t>Rami Levy Chain Stores Hashikm</t>
  </si>
  <si>
    <t>ARAD IT Equity</t>
  </si>
  <si>
    <t>Arad Investment &amp; Industrial D</t>
  </si>
  <si>
    <t>MGDL IT Equity</t>
  </si>
  <si>
    <t>Migdal Insurance &amp; Financial H</t>
  </si>
  <si>
    <t>ISCD IT Equity</t>
  </si>
  <si>
    <t>Isracard Ltd</t>
  </si>
  <si>
    <t>ALMA IT Equity</t>
  </si>
  <si>
    <t>Almogim Holdings Ltd</t>
  </si>
  <si>
    <t>ELMR IT Equity</t>
  </si>
  <si>
    <t>Elmor Electrical Installation</t>
  </si>
  <si>
    <t>IDIN IT Equity</t>
  </si>
  <si>
    <t>IDI Insurance Co Ltd</t>
  </si>
  <si>
    <t>GLRS IT Equity</t>
  </si>
  <si>
    <t>Globrands Ltd</t>
  </si>
  <si>
    <t>FTAL IT Equity</t>
  </si>
  <si>
    <t>Fattal Holdings 1998 Ltd</t>
  </si>
  <si>
    <t>ORON IT Equity</t>
  </si>
  <si>
    <t>Oron Group Investments &amp; Holdi</t>
  </si>
  <si>
    <t>CRSR IT Equity</t>
  </si>
  <si>
    <t>Carasso Real Estate Ltd</t>
  </si>
  <si>
    <t>NVLG IT Equity</t>
  </si>
  <si>
    <t>Novolog Ltd</t>
  </si>
  <si>
    <t>ARF IT Equity</t>
  </si>
  <si>
    <t>Ashdod Refinery Ltd</t>
  </si>
  <si>
    <t>Oil Comp-Integrated</t>
  </si>
  <si>
    <t>VTNA IT Equity</t>
  </si>
  <si>
    <t>Vitania Ltd</t>
  </si>
  <si>
    <t>OVRS IT Equity</t>
  </si>
  <si>
    <t>Overseas Commerce Ltd</t>
  </si>
  <si>
    <t>BRIH IT Equity</t>
  </si>
  <si>
    <t>RAV Bariach 08 Industries Ltd</t>
  </si>
  <si>
    <t>MNIN IT Equity</t>
  </si>
  <si>
    <t>Mendelson Infrastructures &amp; In</t>
  </si>
  <si>
    <t>TASE IT Equity</t>
  </si>
  <si>
    <t>Tel Aviv Stock Exchange Ltd</t>
  </si>
  <si>
    <t>SBEN IT Equity</t>
  </si>
  <si>
    <t>Shikun &amp; Binui Soltec Renewabl</t>
  </si>
  <si>
    <t>PLUS LN Equity</t>
  </si>
  <si>
    <t>Plus500 Ltd</t>
  </si>
  <si>
    <t>INSPX77 IT Equity</t>
  </si>
  <si>
    <t>Tachlit Composite 3 Foreign EQ</t>
  </si>
  <si>
    <t>WIX US Equity</t>
  </si>
  <si>
    <t>Wix.com Ltd</t>
  </si>
  <si>
    <t>MDTR IT Equity</t>
  </si>
  <si>
    <t>Mediterranean Towers Ltd</t>
  </si>
  <si>
    <t>TRMR LN Equity</t>
  </si>
  <si>
    <t>Tremor International Ltd</t>
  </si>
  <si>
    <t>INRM IT Equity</t>
  </si>
  <si>
    <t>Inrom Construction Industries</t>
  </si>
  <si>
    <t>ASHG IT Equity</t>
  </si>
  <si>
    <t>Ashtrom Group Ltd</t>
  </si>
  <si>
    <t>CYBR US Equity</t>
  </si>
  <si>
    <t>CyberArk Software Ltd</t>
  </si>
  <si>
    <t>SPEN IT Equity</t>
  </si>
  <si>
    <t>Shapir Engineering and Industr</t>
  </si>
  <si>
    <t>SEDG US Equity</t>
  </si>
  <si>
    <t>SolarEdge Technologies Inc</t>
  </si>
  <si>
    <t>KRNT US Equity</t>
  </si>
  <si>
    <t>Kornit Digital Ltd</t>
  </si>
  <si>
    <t>OPCE IT Equity</t>
  </si>
  <si>
    <t>OPC Energy Ltd</t>
  </si>
  <si>
    <t>MGRT IT Equity</t>
  </si>
  <si>
    <t>Megureit Israel Ltd</t>
  </si>
  <si>
    <t>MNRT IT Equity</t>
  </si>
  <si>
    <t>Menivim- The New REIT Ltd</t>
  </si>
  <si>
    <t>TMRP IT Equity</t>
  </si>
  <si>
    <t>Tamar Petroleum Ltd</t>
  </si>
  <si>
    <t>MRIN IT Equity</t>
  </si>
  <si>
    <t>YD More Investments Ltd</t>
  </si>
  <si>
    <t>1696 HK Equity</t>
  </si>
  <si>
    <t>Sisram Medical Ltd</t>
  </si>
  <si>
    <t>NVPT IT Equity</t>
  </si>
  <si>
    <t>Navitas Petroleum LP</t>
  </si>
  <si>
    <t>HLMS IT Equity</t>
  </si>
  <si>
    <t>Holmes Place International Ltd</t>
  </si>
  <si>
    <t>RANI IT Equity</t>
  </si>
  <si>
    <t>Rani Zim Shopping Centers Ltd</t>
  </si>
  <si>
    <t>GPGB IT Equity</t>
  </si>
  <si>
    <t>GP Global Power Ltd</t>
  </si>
  <si>
    <t>TOEN IT Equity</t>
  </si>
  <si>
    <t>Tomer Energy Royalties 2012 Lt</t>
  </si>
  <si>
    <t>CRML IT Equity</t>
  </si>
  <si>
    <t>Carmel Corp Ltd</t>
  </si>
  <si>
    <t>IBITECF IT Equity</t>
  </si>
  <si>
    <t>IBI 5D Tech Fund - High Techno</t>
  </si>
  <si>
    <t>PSGF14 IT Equity</t>
  </si>
  <si>
    <t>Psagot ETF 00 Tel-Bond 60</t>
  </si>
  <si>
    <t>PSGF23 IT Equity</t>
  </si>
  <si>
    <t>Psagot ETF 00 Tel Bond-CPI Lin</t>
  </si>
  <si>
    <t>PSGF22 IT Equity</t>
  </si>
  <si>
    <t>PSGF33 IT Equity</t>
  </si>
  <si>
    <t>Psagot ETF 00 Tel Bond-Shekel</t>
  </si>
  <si>
    <t>PSGF36 IT Equity</t>
  </si>
  <si>
    <t>Psagot ETF 4A TA-90</t>
  </si>
  <si>
    <t>PSGF35 IT Equity</t>
  </si>
  <si>
    <t>Psagot ETF 4A Index Israel Ban</t>
  </si>
  <si>
    <t>PSGF42 IT Equity</t>
  </si>
  <si>
    <t>Psagot ETF 4A TA-125</t>
  </si>
  <si>
    <t>TCHF76 IT Equity</t>
  </si>
  <si>
    <t>Tachlit SAL 4D S&amp;P 500</t>
  </si>
  <si>
    <t>TCHF3 IT Equity</t>
  </si>
  <si>
    <t>Tachlit SAL 40 INDEX ISRAEL BA</t>
  </si>
  <si>
    <t>TCHF1 IT Equity</t>
  </si>
  <si>
    <t>Tachlit SAL 40 TA 35</t>
  </si>
  <si>
    <t>GOSS IT Equity</t>
  </si>
  <si>
    <t>G1 Secure Solutions Ltd</t>
  </si>
  <si>
    <t>GNRS IT Equity</t>
  </si>
  <si>
    <t>Generation Capital Ltd</t>
  </si>
  <si>
    <t>TCHF77 IT Equity</t>
  </si>
  <si>
    <t>Tachlit SAL 4D NASDAQ 100</t>
  </si>
  <si>
    <t>TCHF11 IT Equity</t>
  </si>
  <si>
    <t>Tachlit SAL 4A S&amp;P 500 Currenc</t>
  </si>
  <si>
    <t>TCHF4 IT Equity</t>
  </si>
  <si>
    <t>Tachlit SAL 4A NASDAQ 100 Curr</t>
  </si>
  <si>
    <t>KSMF72 IT Equity</t>
  </si>
  <si>
    <t>KSM ETF 4A TA-90</t>
  </si>
  <si>
    <t>KSMF59 IT Equity</t>
  </si>
  <si>
    <t>KSM ETF 4A TA-35</t>
  </si>
  <si>
    <t>KSMF68 IT Equity</t>
  </si>
  <si>
    <t>KSM ETF 4D MSCI Emerging Marke</t>
  </si>
  <si>
    <t>KSMF79 IT Equity</t>
  </si>
  <si>
    <t>KSM KTF4D NIKKEI 225</t>
  </si>
  <si>
    <t>KSMF74 IT Equity</t>
  </si>
  <si>
    <t>KSM ETF 4A TA-125</t>
  </si>
  <si>
    <t>KSMF52 IT Equity</t>
  </si>
  <si>
    <t>KSM ETF 4D NASDAQ 100</t>
  </si>
  <si>
    <t>KSMF83 IT Equity</t>
  </si>
  <si>
    <t>KSM ETF 4A NASDAQ 100 Currency</t>
  </si>
  <si>
    <t>KSMF82 IT Equity</t>
  </si>
  <si>
    <t>KSM ETF 4A S&amp;P 500 Currency He</t>
  </si>
  <si>
    <t>KSMF80 IT Equity</t>
  </si>
  <si>
    <t>KSM ETF 4D S&amp;P 500</t>
  </si>
  <si>
    <t>KSMF77 IT Equity</t>
  </si>
  <si>
    <t>KSM ETF 4A Index Israeli Banks</t>
  </si>
  <si>
    <t>KSMF86 IT Equity</t>
  </si>
  <si>
    <t>KSM ETF 0A Tel-Gov</t>
  </si>
  <si>
    <t>KSMF18 IT Equity</t>
  </si>
  <si>
    <t>KSM ETF 00 Tel Bond-20</t>
  </si>
  <si>
    <t>KSMF41 IT Equity</t>
  </si>
  <si>
    <t>KSM ETF 00 Tel Bond-60</t>
  </si>
  <si>
    <t>KSMF48 IT Equity</t>
  </si>
  <si>
    <t>KSM ETF 00 Tel Bond-Shekel</t>
  </si>
  <si>
    <t>KSMF34 IT Equity</t>
  </si>
  <si>
    <t>KSM ETF 4A TA-INSURANCE</t>
  </si>
  <si>
    <t>KSMF112 IT Equity</t>
  </si>
  <si>
    <t>KSM ETF 6D Leveraged NASDAQ 10</t>
  </si>
  <si>
    <t>KSMF144 IT Equity</t>
  </si>
  <si>
    <t>KSM ETF 0A Tel Bond-Composite</t>
  </si>
  <si>
    <t>KSMF110 IT Equity</t>
  </si>
  <si>
    <t>KSM ETF 00 Tel Bond-Yields</t>
  </si>
  <si>
    <t>KSMF162 IT Equity</t>
  </si>
  <si>
    <t>KSM ETF 4D Bluestar Israel Glo</t>
  </si>
  <si>
    <t>KSMFK1 IT Equity</t>
  </si>
  <si>
    <t>KSM ETF 00 Kosher Tel Bond-60</t>
  </si>
  <si>
    <t>KSMFK3 IT Equity</t>
  </si>
  <si>
    <t>KSM ETF 4A Kosher TA-125</t>
  </si>
  <si>
    <t>KSMF2 IT Equity</t>
  </si>
  <si>
    <t>KSM ETF 00 Tel Bond Shekel-50</t>
  </si>
  <si>
    <t>PSGFK1 IT Equity</t>
  </si>
  <si>
    <t>Psagot ETF 00 Kosher Tel-Bond</t>
  </si>
  <si>
    <t>PSGFK4 IT Equity</t>
  </si>
  <si>
    <t>Psagot ETF 4A Kosher TA-125</t>
  </si>
  <si>
    <t>PSGF65 IT Equity</t>
  </si>
  <si>
    <t>Psagot ETF 4D S&amp;P 500</t>
  </si>
  <si>
    <t>HRLF26 IT Equity</t>
  </si>
  <si>
    <t>Harel Sal 4D NASDAQ 100</t>
  </si>
  <si>
    <t>FVRR US Equity</t>
  </si>
  <si>
    <t>Fiverr International Ltd</t>
  </si>
  <si>
    <t>HRLF3 IT Equity</t>
  </si>
  <si>
    <t>Harel Sal 00 Tel Bond 20</t>
  </si>
  <si>
    <t>HRLF61 IT Equity</t>
  </si>
  <si>
    <t>Harel Sal 00 Tel Bond CPI Link</t>
  </si>
  <si>
    <t>HRLF4 IT Equity</t>
  </si>
  <si>
    <t>Harel Sal 00 Tel Bond 60</t>
  </si>
  <si>
    <t>HRLF303 IT Equity</t>
  </si>
  <si>
    <t>Harel Sal 00 Tel Bond - Shekel</t>
  </si>
  <si>
    <t>HRLF24 IT Equity</t>
  </si>
  <si>
    <t>HRLF2 IT Equity</t>
  </si>
  <si>
    <t>Harel Sal 4A TA 125</t>
  </si>
  <si>
    <t>HRLF12 IT Equity</t>
  </si>
  <si>
    <t>Harel Sal 4A Index Israel Bank</t>
  </si>
  <si>
    <t>HRLF15 IT Equity</t>
  </si>
  <si>
    <t>Harel Sal 4A TA-RealEstate</t>
  </si>
  <si>
    <t>HRLF7 IT Equity</t>
  </si>
  <si>
    <t>Harel Sal 4A TA 35</t>
  </si>
  <si>
    <t>HRLF11 IT Equity</t>
  </si>
  <si>
    <t>Harel Sal 4A TA 90</t>
  </si>
  <si>
    <t>SHVA IT Equity</t>
  </si>
  <si>
    <t>Automatic Bank Services Ltd</t>
  </si>
  <si>
    <t>HRLF25 IT Equity</t>
  </si>
  <si>
    <t>Harel Sal 4D S&amp;P 500</t>
  </si>
  <si>
    <t>HRLF75 IT Equity</t>
  </si>
  <si>
    <t>Harel Sal 4D S&amp;P Financial</t>
  </si>
  <si>
    <t>HRLF87 IT Equity</t>
  </si>
  <si>
    <t>Harel Sal 4D S&amp;P Technology</t>
  </si>
  <si>
    <t>HRLF74 IT Equity</t>
  </si>
  <si>
    <t>Harel Sal 4D S&amp;P Health Care</t>
  </si>
  <si>
    <t>HRLF50 IT Equity</t>
  </si>
  <si>
    <t>Harel Sal 4A S&amp;P 500 Currency-</t>
  </si>
  <si>
    <t>HRLF204 IT Equity</t>
  </si>
  <si>
    <t>Harel Sal 4A ISE Cyber Securit</t>
  </si>
  <si>
    <t>HRLF49 IT Equity</t>
  </si>
  <si>
    <t>Harel Sal 4A NASDAQ 100 Curren</t>
  </si>
  <si>
    <t>HRLFK41 IT Equity</t>
  </si>
  <si>
    <t>Harel Sal 00 Kosher Tel Bond 6</t>
  </si>
  <si>
    <t>HRLFK43 IT Equity</t>
  </si>
  <si>
    <t>Harel Sal 4A Kosher TA 125</t>
  </si>
  <si>
    <t>INMD US Equity</t>
  </si>
  <si>
    <t>Inmode Ltd</t>
  </si>
  <si>
    <t>HRLF69 IT Equity</t>
  </si>
  <si>
    <t>Harel Sal 00 Tel Bond Yields</t>
  </si>
  <si>
    <t>HRLF300 IT Equity</t>
  </si>
  <si>
    <t>Harel Sal 00 Tel Bond Shekel -</t>
  </si>
  <si>
    <t>YHNF IT Equity</t>
  </si>
  <si>
    <t>M Yochananof &amp; Sons Ltd</t>
  </si>
  <si>
    <t>CGNT US Equity</t>
  </si>
  <si>
    <t>Cognyte Software Ltd</t>
  </si>
  <si>
    <t>KSMF186 IT Equity</t>
  </si>
  <si>
    <t>KSM ETF 60 Short TA-90</t>
  </si>
  <si>
    <t>MTFF1 IT Equity</t>
  </si>
  <si>
    <t>MTF SAL 00 Non-Linked Fixed In</t>
  </si>
  <si>
    <t>MTFF4 IT Equity</t>
  </si>
  <si>
    <t>MTF SAL 00 Tel-Bond 60</t>
  </si>
  <si>
    <t>MTFF3 IT Equity</t>
  </si>
  <si>
    <t>MTF SAL 00 Tel-Bond 20</t>
  </si>
  <si>
    <t>MTFF5 IT Equity</t>
  </si>
  <si>
    <t>MTF SAL 00 Tel Bond Shekel</t>
  </si>
  <si>
    <t>MTFF52 IT Equity</t>
  </si>
  <si>
    <t>MTF SAL 4A S&amp;P 500 Currency-He</t>
  </si>
  <si>
    <t>MTFF12 IT Equity</t>
  </si>
  <si>
    <t>MTF SAL 00 Tel Bond Yields</t>
  </si>
  <si>
    <t>MTFF15 IT Equity</t>
  </si>
  <si>
    <t>MTF SAL 00 Tel Bond Shekel 50</t>
  </si>
  <si>
    <t>MTFF16 IT Equity</t>
  </si>
  <si>
    <t>MTF SAL 4A TA-35</t>
  </si>
  <si>
    <t>MTFF17 IT Equity</t>
  </si>
  <si>
    <t>MTF SAL 4A TA-90</t>
  </si>
  <si>
    <t>TCHF9 IT Equity</t>
  </si>
  <si>
    <t>Tachlit SAL 40 TA 90</t>
  </si>
  <si>
    <t>MTFF19 IT Equity</t>
  </si>
  <si>
    <t>MTF SAL 4A TA-125</t>
  </si>
  <si>
    <t>HRLF220 IT Equity</t>
  </si>
  <si>
    <t>Harel Sal 4A TA-Technology</t>
  </si>
  <si>
    <t>MTFF48 IT Equity</t>
  </si>
  <si>
    <t>MTF SAL 4A S&amp;P Technology Curr</t>
  </si>
  <si>
    <t>TCHF2 IT Equity</t>
  </si>
  <si>
    <t>Tachlit TA 125</t>
  </si>
  <si>
    <t>MTFF23 IT Equity</t>
  </si>
  <si>
    <t>MTF SAL 4D S&amp;P 500</t>
  </si>
  <si>
    <t>AZRT IT Equity</t>
  </si>
  <si>
    <t>REIT Azorim HF Living Ltd</t>
  </si>
  <si>
    <t>DORL IT Equity</t>
  </si>
  <si>
    <t>Doral Group Renewable Energy R</t>
  </si>
  <si>
    <t>TCHF104 IT Equity</t>
  </si>
  <si>
    <t>Tachlit SAL 0B Tel Bond-Compos</t>
  </si>
  <si>
    <t>TCHF10 IT Equity</t>
  </si>
  <si>
    <t>Tachlit Sal 00 Tel Bond 20</t>
  </si>
  <si>
    <t>TCHF138 IT Equity</t>
  </si>
  <si>
    <t>Tachlit SAL 00 Tel Bond CPI Li</t>
  </si>
  <si>
    <t>TCHF27 IT Equity</t>
  </si>
  <si>
    <t>Tachlit SAL 00 Tel Bond 60</t>
  </si>
  <si>
    <t>ELCP IT Equity</t>
  </si>
  <si>
    <t>Electra Power Ltd</t>
  </si>
  <si>
    <t>TCHF41 IT Equity</t>
  </si>
  <si>
    <t>Tachlit Sal 00 Tel Bond Yields</t>
  </si>
  <si>
    <t>TCHF25 IT Equity</t>
  </si>
  <si>
    <t>Tachlit SAL 00 CPI Linked Gove</t>
  </si>
  <si>
    <t>TCHF64 IT Equity</t>
  </si>
  <si>
    <t>Tachlit SAL 00 Tel Bond Yield</t>
  </si>
  <si>
    <t>TCHF34 IT Equity</t>
  </si>
  <si>
    <t>Tachlit SAL 00 Tel Bond Shekel</t>
  </si>
  <si>
    <t>MSKE IT Equity</t>
  </si>
  <si>
    <t>Meshek Energy Renewable Energi</t>
  </si>
  <si>
    <t>TCHFK4 IT Equity</t>
  </si>
  <si>
    <t>Tachlit SAL 40 Kosher TA 125</t>
  </si>
  <si>
    <t>MTFF65 IT Equity</t>
  </si>
  <si>
    <t>MTF SAL 4A TA - Construction</t>
  </si>
  <si>
    <t>MORES1 IT Equity</t>
  </si>
  <si>
    <t>MORE SAL 4D S&amp;P 500</t>
  </si>
  <si>
    <t>MORES2 IT Equity</t>
  </si>
  <si>
    <t>MORE SAL 4A S&amp;P 500 Currency H</t>
  </si>
  <si>
    <t>MORES4 IT Equity</t>
  </si>
  <si>
    <t>MORE SAL 4A Nasdaq 100 Currenc</t>
  </si>
  <si>
    <t>NNOX US Equity</t>
  </si>
  <si>
    <t>Nano-X Imaging Ltd</t>
  </si>
  <si>
    <t>MRI/Medical Diag Imaging</t>
  </si>
  <si>
    <t>FROG US Equity</t>
  </si>
  <si>
    <t>JFrog Ltd</t>
  </si>
  <si>
    <t>DIFI IT Equity</t>
  </si>
  <si>
    <t>Direct Finance of Direct Group</t>
  </si>
  <si>
    <t>MAXO IT Equity</t>
  </si>
  <si>
    <t>Max Stock Ltd</t>
  </si>
  <si>
    <t>ISHI IT Equity</t>
  </si>
  <si>
    <t>Israel Shipyards Industries Lt</t>
  </si>
  <si>
    <t>NGMS US Equity</t>
  </si>
  <si>
    <t>NEOGAMES SA</t>
  </si>
  <si>
    <t>Internet Gambling</t>
  </si>
  <si>
    <t>POLP IT Equity</t>
  </si>
  <si>
    <t>Polyram Plastic Industries Ltd</t>
  </si>
  <si>
    <t>MNIF IT Equity</t>
  </si>
  <si>
    <t>MENIF - Financial Services Ltd</t>
  </si>
  <si>
    <t>NOFR IT Equity</t>
  </si>
  <si>
    <t>OY Nofar Energy Ltd</t>
  </si>
  <si>
    <t>PLTK US Equity</t>
  </si>
  <si>
    <t>Playtika Holding Corp</t>
  </si>
  <si>
    <t>ZIM US Equity</t>
  </si>
  <si>
    <t>ZIM Integrated Shipping Servic</t>
  </si>
  <si>
    <t>TCHF164 IT Equity</t>
  </si>
  <si>
    <t>Tachlit SAL 4D PHLX Semiconduc</t>
  </si>
  <si>
    <t>SOLR IT Equity</t>
  </si>
  <si>
    <t>Solaer Renewable Energies Ltd</t>
  </si>
  <si>
    <t>MCMN IT Equity</t>
  </si>
  <si>
    <t>Michman Basad Ltd</t>
  </si>
  <si>
    <t>MTFF79 IT Equity</t>
  </si>
  <si>
    <t>MTF Sal 00 Tel Bond CPI-Linked</t>
  </si>
  <si>
    <t>BKRY IT Equity</t>
  </si>
  <si>
    <t>Bikurey Hasade Holdings Ltd</t>
  </si>
  <si>
    <t>DIPL IT Equity</t>
  </si>
  <si>
    <t>Diplomat Holdings Ltd</t>
  </si>
  <si>
    <t>DLTI IT Equity</t>
  </si>
  <si>
    <t>Delta Israel Brands Ltd</t>
  </si>
  <si>
    <t>GLBE US Equity</t>
  </si>
  <si>
    <t>Global-e Online Ltd</t>
  </si>
  <si>
    <t>KSMF203 IT Equity</t>
  </si>
  <si>
    <t>KSM MVSMHTR</t>
  </si>
  <si>
    <t>INVZ US Equity</t>
  </si>
  <si>
    <t>Innoviz Technologies Ltd</t>
  </si>
  <si>
    <t>SMWB US Equity</t>
  </si>
  <si>
    <t>SimilarWeb Ltd</t>
  </si>
  <si>
    <t>NYAX IT Equity</t>
  </si>
  <si>
    <t>Nayax Ltd</t>
  </si>
  <si>
    <t>RTLS IT Equity</t>
  </si>
  <si>
    <t>Retailors Ltd</t>
  </si>
  <si>
    <t>PULS IT Equity</t>
  </si>
  <si>
    <t>Pulsenmore Ltd</t>
  </si>
  <si>
    <t>Medical Imaging Systems</t>
  </si>
  <si>
    <t>SOFW IT Equity</t>
  </si>
  <si>
    <t>SofWave Medical Ltd</t>
  </si>
  <si>
    <t>WKME US Equity</t>
  </si>
  <si>
    <t>WalkMe Ltd</t>
  </si>
  <si>
    <t>MNDY US Equity</t>
  </si>
  <si>
    <t>Monday.com Ltd</t>
  </si>
  <si>
    <t>TRPZ IT Equity</t>
  </si>
  <si>
    <t>Turpaz Industries Ltd</t>
  </si>
  <si>
    <t>GMLA IT Equity</t>
  </si>
  <si>
    <t>Gamla Harel Residential Real E</t>
  </si>
  <si>
    <t>KSTN IT Equity</t>
  </si>
  <si>
    <t>Keystone REIT Ltd</t>
  </si>
  <si>
    <t>ACKR IT Equity</t>
  </si>
  <si>
    <t>Ackerstein Group Ltd</t>
  </si>
  <si>
    <t>ETGA IT Equity</t>
  </si>
  <si>
    <t>Etga Group Ltd</t>
  </si>
  <si>
    <t>GLBX IT Equity</t>
  </si>
  <si>
    <t>Glassbox Ltd</t>
  </si>
  <si>
    <t>VRDS IT Equity</t>
  </si>
  <si>
    <t>Veridis Environment Ltd</t>
  </si>
  <si>
    <t>NXSN IT Equity</t>
  </si>
  <si>
    <t>Next Vision Stabilized Systems</t>
  </si>
  <si>
    <t>TBLA US Equity</t>
  </si>
  <si>
    <t>Taboola.com Ltd</t>
  </si>
  <si>
    <t>RSKD US Equity</t>
  </si>
  <si>
    <t>Riskified Ltd</t>
  </si>
  <si>
    <t>ECNR IT Equity</t>
  </si>
  <si>
    <t>Econergy Renewable Energy Ltd</t>
  </si>
  <si>
    <t>CLBT US Equity</t>
  </si>
  <si>
    <t>Cellebrite DI Ltd</t>
  </si>
  <si>
    <t>TRX IT Equity</t>
  </si>
  <si>
    <t>Terminal X Online Ltd</t>
  </si>
  <si>
    <t>RMON IT Equity</t>
  </si>
  <si>
    <t>OG Rimon Consulting Ltd</t>
  </si>
  <si>
    <t>TPGM IT Equity</t>
  </si>
  <si>
    <t>Top Gum Industries Ltd</t>
  </si>
  <si>
    <t>AMD IT Equity</t>
  </si>
  <si>
    <t>Amiad Water Systems Ltd</t>
  </si>
  <si>
    <t>Filtration/Separat Prod</t>
  </si>
  <si>
    <t>HGGE IT Equity</t>
  </si>
  <si>
    <t>HAGAG Europe Development ZF Lt</t>
  </si>
  <si>
    <t>MCLL IT Equity</t>
  </si>
  <si>
    <t>Michlol Finance Ltd</t>
  </si>
  <si>
    <t>TRLT IT Equity</t>
  </si>
  <si>
    <t>Tera Light Ltd</t>
  </si>
  <si>
    <t>BLGO IT Equity</t>
  </si>
  <si>
    <t>Buligo Capital Ltd</t>
  </si>
  <si>
    <t>VLN US Equity</t>
  </si>
  <si>
    <t>Valens Semiconductor Ltd</t>
  </si>
  <si>
    <t>ALUMA IT Equity</t>
  </si>
  <si>
    <t>Aluma Infrastructure Fund 2020</t>
  </si>
  <si>
    <t>ICON IT Equity</t>
  </si>
  <si>
    <t>Icon Group Ltd</t>
  </si>
  <si>
    <t>EPIT IT Equity</t>
  </si>
  <si>
    <t>Epitomee Medical Ltd</t>
  </si>
  <si>
    <t>BKFR IT Equity</t>
  </si>
  <si>
    <t>Bait Bakfar Ltd</t>
  </si>
  <si>
    <t>MPP IT Equity</t>
  </si>
  <si>
    <t>More Provident Funds And Pensi</t>
  </si>
  <si>
    <t>ISI IT Equity</t>
  </si>
  <si>
    <t>Imagesat International ISI Ltd</t>
  </si>
  <si>
    <t>ACRO IT Equity</t>
  </si>
  <si>
    <t>Kvutzat Acro Ltd</t>
  </si>
  <si>
    <t>HIPR IT Equity</t>
  </si>
  <si>
    <t>Hiper Global Ltd</t>
  </si>
  <si>
    <t>DRTS US Equity</t>
  </si>
  <si>
    <t>Alpha Tau Medical Ltd</t>
  </si>
  <si>
    <t>X-Ray Equipment</t>
  </si>
  <si>
    <t>JCFN IT Equity</t>
  </si>
  <si>
    <t>Jacob Finance and Investments</t>
  </si>
  <si>
    <t>BVGG IT Equity</t>
  </si>
  <si>
    <t>Bait Ve Gag Real Estate Develo</t>
  </si>
  <si>
    <t>ALTF IT Equity</t>
  </si>
  <si>
    <t>Altshuler Shaham Penn Ltd</t>
  </si>
  <si>
    <t>PGY US Equity</t>
  </si>
  <si>
    <t>Pagaya Technologies Ltd</t>
  </si>
  <si>
    <t>MBLY US Equity</t>
  </si>
  <si>
    <t>Mobileye Global Inc</t>
  </si>
  <si>
    <t>DRSH IT Equity</t>
  </si>
  <si>
    <t>Dorsel Holdings</t>
  </si>
  <si>
    <t>ZPRS IT Equity</t>
  </si>
  <si>
    <t>Zephyrus Wing Energies Ltd</t>
  </si>
  <si>
    <t>BQL.QUERY(B8&amp;B9&amp;B10;"cols=25;rows=403")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</si>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</sst>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* #,##0.00\ _€_-;\-* #,##0.00\ _€_-;_-* &quot;-&quot;??\ _€_-;_-@_-"/>
    <numFmt numFmtId="165" formatCode="0.0"/>
    <numFmt numFmtId="166" formatCode="0.0%"/>
    <numFmt numFmtId="167" formatCode="_-* #,##0\ _€_-;\-* #,##0\ _€_-;_-* &quot;-&quot;??\ _€_-;_-@_-"/>
    <numFmt numFmtId="168" formatCode="0.0000"/>
    <numFmt numFmtId="169" formatCode="0.000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8">
    <xf numFmtId="0" fontId="0" fillId="0" borderId="0" xfId="0"/>
    <xf numFmtId="0" fontId="4" fillId="0" borderId="0" xfId="0" applyFont="1"/>
    <xf numFmtId="9" fontId="3" fillId="0" borderId="0" xfId="2" applyFont="1"/>
    <xf numFmtId="1" fontId="3" fillId="0" borderId="0" xfId="2" applyNumberFormat="1" applyFont="1"/>
    <xf numFmtId="1" fontId="3" fillId="0" borderId="0" xfId="0" applyNumberFormat="1" applyFont="1"/>
    <xf numFmtId="165" fontId="3" fillId="0" borderId="0" xfId="0" applyNumberFormat="1" applyFont="1"/>
    <xf numFmtId="166" fontId="3" fillId="0" borderId="0" xfId="2" applyNumberFormat="1" applyFont="1"/>
    <xf numFmtId="167" fontId="3" fillId="0" borderId="0" xfId="1" applyNumberFormat="1" applyFont="1"/>
    <xf numFmtId="0" fontId="3" fillId="0" borderId="0" xfId="0" applyFont="1"/>
    <xf numFmtId="9" fontId="4" fillId="0" borderId="0" xfId="2" applyFont="1"/>
    <xf numFmtId="1" fontId="4" fillId="0" borderId="0" xfId="2" applyNumberFormat="1" applyFont="1"/>
    <xf numFmtId="1" fontId="4" fillId="0" borderId="0" xfId="0" applyNumberFormat="1" applyFont="1"/>
    <xf numFmtId="0" fontId="2" fillId="0" borderId="0" xfId="0" applyFont="1"/>
    <xf numFmtId="9" fontId="2" fillId="0" borderId="0" xfId="2" applyFont="1"/>
    <xf numFmtId="1" fontId="2" fillId="0" borderId="0" xfId="2" applyNumberFormat="1" applyFont="1"/>
    <xf numFmtId="1" fontId="2" fillId="0" borderId="0" xfId="0" applyNumberFormat="1" applyFont="1"/>
    <xf numFmtId="165" fontId="2" fillId="0" borderId="0" xfId="0" applyNumberFormat="1" applyFont="1"/>
    <xf numFmtId="166" fontId="2" fillId="0" borderId="0" xfId="2" applyNumberFormat="1" applyFont="1"/>
    <xf numFmtId="165" fontId="2" fillId="0" borderId="0" xfId="2" applyNumberFormat="1" applyFont="1"/>
    <xf numFmtId="167" fontId="2" fillId="0" borderId="0" xfId="1" applyNumberFormat="1" applyFont="1"/>
    <xf numFmtId="9" fontId="4" fillId="0" borderId="0" xfId="2" applyFont="1" applyFill="1"/>
    <xf numFmtId="1" fontId="4" fillId="0" borderId="0" xfId="2" applyNumberFormat="1" applyFont="1" applyFill="1"/>
    <xf numFmtId="165" fontId="4" fillId="0" borderId="0" xfId="0" applyNumberFormat="1" applyFont="1"/>
    <xf numFmtId="166" fontId="4" fillId="0" borderId="0" xfId="2" applyNumberFormat="1" applyFont="1" applyFill="1"/>
    <xf numFmtId="166" fontId="4" fillId="0" borderId="0" xfId="2" applyNumberFormat="1" applyFont="1"/>
    <xf numFmtId="14" fontId="4" fillId="0" borderId="0" xfId="0" applyNumberFormat="1" applyFont="1"/>
    <xf numFmtId="9" fontId="0" fillId="0" borderId="0" xfId="2" applyFont="1"/>
    <xf numFmtId="1" fontId="0" fillId="0" borderId="0" xfId="2" applyNumberFormat="1" applyFont="1"/>
    <xf numFmtId="1" fontId="0" fillId="0" borderId="0" xfId="0" applyNumberFormat="1"/>
    <xf numFmtId="165" fontId="0" fillId="0" borderId="0" xfId="0" applyNumberFormat="1"/>
    <xf numFmtId="166" fontId="0" fillId="0" borderId="0" xfId="2" applyNumberFormat="1" applyFont="1"/>
    <xf numFmtId="167" fontId="0" fillId="0" borderId="0" xfId="1" applyNumberFormat="1" applyFont="1"/>
    <xf numFmtId="0" fontId="4" fillId="2" borderId="0" xfId="0" applyFont="1" applyFill="1" applyAlignment="1">
      <alignment horizontal="center"/>
    </xf>
    <xf numFmtId="0" fontId="0" fillId="2" borderId="0" xfId="0" applyFill="1"/>
    <xf numFmtId="9" fontId="0" fillId="0" borderId="0" xfId="0" applyNumberFormat="1"/>
    <xf numFmtId="0" fontId="0" fillId="5" borderId="0" xfId="0" applyFill="1"/>
    <xf numFmtId="169" fontId="0" fillId="0" borderId="0" xfId="0" applyNumberFormat="1"/>
    <xf numFmtId="9" fontId="0" fillId="6" borderId="3" xfId="2" applyFont="1" applyFill="1" applyBorder="1"/>
    <xf numFmtId="168" fontId="0" fillId="6" borderId="4" xfId="2" applyNumberFormat="1" applyFont="1" applyFill="1" applyBorder="1" applyAlignment="1">
      <alignment horizontal="left"/>
    </xf>
    <xf numFmtId="0" fontId="0" fillId="4" borderId="0" xfId="0" applyFill="1"/>
    <xf numFmtId="0" fontId="4" fillId="3" borderId="0" xfId="0" applyFont="1" applyFill="1"/>
    <xf numFmtId="9" fontId="0" fillId="0" borderId="0" xfId="2" applyFont="1" applyFill="1"/>
    <xf numFmtId="1" fontId="0" fillId="0" borderId="0" xfId="2" applyNumberFormat="1" applyFont="1" applyFill="1"/>
    <xf numFmtId="166" fontId="0" fillId="0" borderId="0" xfId="2" applyNumberFormat="1" applyFont="1" applyFill="1"/>
    <xf numFmtId="167" fontId="0" fillId="0" borderId="0" xfId="1" applyNumberFormat="1" applyFont="1" applyFill="1"/>
    <xf numFmtId="9" fontId="2" fillId="0" borderId="0" xfId="2" applyFont="1" applyFill="1" applyAlignment="1">
      <alignment horizontal="center" vertical="center"/>
    </xf>
    <xf numFmtId="9" fontId="2" fillId="0" borderId="1" xfId="2" applyFont="1" applyFill="1" applyBorder="1" applyAlignment="1">
      <alignment horizontal="center" vertical="center" wrapText="1"/>
    </xf>
    <xf numFmtId="9" fontId="2" fillId="0" borderId="2" xfId="2" applyFont="1" applyFill="1" applyBorder="1" applyAlignment="1">
      <alignment horizontal="center" vertical="center" wrapText="1"/>
    </xf>
    <xf numFmtId="1" fontId="2" fillId="0" borderId="2" xfId="2" applyNumberFormat="1" applyFont="1" applyFill="1" applyBorder="1" applyAlignment="1">
      <alignment horizontal="center" vertical="center" wrapText="1"/>
    </xf>
    <xf numFmtId="165" fontId="2" fillId="0" borderId="2" xfId="2" applyNumberFormat="1" applyFont="1" applyFill="1" applyBorder="1" applyAlignment="1">
      <alignment horizontal="center" vertical="center" wrapText="1"/>
    </xf>
    <xf numFmtId="167" fontId="2" fillId="0" borderId="2" xfId="1" applyNumberFormat="1" applyFont="1" applyFill="1" applyBorder="1" applyAlignment="1">
      <alignment horizontal="center" vertical="center" wrapText="1"/>
    </xf>
    <xf numFmtId="0" fontId="4" fillId="2" borderId="0" xfId="0" applyFont="1" applyFill="1"/>
    <xf numFmtId="9" fontId="0" fillId="2" borderId="0" xfId="2" applyFont="1" applyFill="1"/>
    <xf numFmtId="1" fontId="0" fillId="2" borderId="0" xfId="2" applyNumberFormat="1" applyFont="1" applyFill="1"/>
    <xf numFmtId="1" fontId="0" fillId="2" borderId="0" xfId="0" applyNumberFormat="1" applyFill="1"/>
    <xf numFmtId="165" fontId="0" fillId="2" borderId="0" xfId="0" applyNumberFormat="1" applyFill="1"/>
    <xf numFmtId="166" fontId="0" fillId="2" borderId="0" xfId="2" applyNumberFormat="1" applyFont="1" applyFill="1"/>
    <xf numFmtId="167" fontId="0" fillId="2" borderId="0" xfId="1" applyNumberFormat="1" applyFont="1" applyFill="1"/>
    <xf numFmtId="10" fontId="0" fillId="2" borderId="0" xfId="0" applyNumberFormat="1" applyFill="1"/>
    <xf numFmtId="0" fontId="0" fillId="7" borderId="0" xfId="0" applyFill="1"/>
    <xf numFmtId="0" fontId="0" fillId="8" borderId="0" xfId="0" applyFill="1"/>
    <xf numFmtId="0" fontId="0" fillId="9" borderId="0" xfId="0" applyFill="1"/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" fontId="2" fillId="0" borderId="2" xfId="0" applyNumberFormat="1" applyFont="1" applyBorder="1" applyAlignment="1">
      <alignment horizontal="center" vertical="center" wrapText="1"/>
    </xf>
    <xf numFmtId="165" fontId="2" fillId="0" borderId="2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164" fontId="0" fillId="0" borderId="0" xfId="1" applyFont="1" applyFill="1"/>
  </cellXfs>
  <cellStyles count="3">
    <cellStyle name="Millares" xfId="1" builtinId="3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Requesting Data...4228447416</v>
        <stp/>
        <stp>BDP|10153681413295911818</stp>
        <tr r="C19" s="2"/>
      </tp>
      <tp t="s">
        <v>#N/A Requesting Data...4200333611</v>
        <stp/>
        <stp>BDP|15111204906428005647</stp>
        <tr r="C16" s="2"/>
      </tp>
      <tp t="s">
        <v>#N/A Requesting Data...4272620175</v>
        <stp/>
        <stp>BDP|16120883486146411172</stp>
        <tr r="C14" s="2"/>
      </tp>
      <tp t="s">
        <v>#N/A Requesting Data...4166285023</v>
        <stp/>
        <stp>BDP|14426182179337515478</stp>
        <tr r="C21" s="2"/>
      </tp>
    </main>
    <main first="bofaddin.rtdserver">
      <tp t="s">
        <v>#N/A Requesting Data...4218611412</v>
        <stp/>
        <stp>BDP|8209742237010362019</stp>
        <tr r="C15" s="2"/>
      </tp>
      <tp t="s">
        <v>#N/A Requesting Data...4138544611</v>
        <stp/>
        <stp>BDP|2191014734036000913</stp>
        <tr r="C26" s="2"/>
      </tp>
      <tp t="s">
        <v>#N/A Requesting Data...4181849312</v>
        <stp/>
        <stp>BDP|9663005613628305824</stp>
        <tr r="C27" s="2"/>
      </tp>
      <tp t="s">
        <v>#N/A Requesting Data...4185801977</v>
        <stp/>
        <stp>BDP|8467683961026028520</stp>
        <tr r="C23" s="2"/>
      </tp>
      <tp t="s">
        <v>#N/A Requesting Data...4165776705</v>
        <stp/>
        <stp>BDP|1295316141689065403</stp>
        <tr r="C28" s="2"/>
      </tp>
      <tp t="s">
        <v>#N/A Requesting Data...4276026534</v>
        <stp/>
        <stp>BDP|6673466301286431161</stp>
        <tr r="C3" s="1"/>
      </tp>
      <tp t="s">
        <v>#N/A Requesting Data...4161689583</v>
        <stp/>
        <stp>BDP|5489319107665685417</stp>
        <tr r="C22" s="2"/>
      </tp>
      <tp t="s">
        <v>#N/A Requesting Data...4260877901</v>
        <stp/>
        <stp>BDP|7907136172464691554</stp>
        <tr r="C25" s="2"/>
      </tp>
      <tp t="s">
        <v>#N/A Requesting Data...4227146996</v>
        <stp/>
        <stp>BDP|1150753021207767326</stp>
        <tr r="C12" s="2"/>
      </tp>
      <tp t="s">
        <v>#N/A Requesting Data...4278650343</v>
        <stp/>
        <stp>BDP|5260762752483492470</stp>
        <tr r="C11" s="2"/>
      </tp>
      <tp t="s">
        <v>#N/A Requesting Data...4187819087</v>
        <stp/>
        <stp>BDP|6959491539699281996</stp>
        <tr r="C13" s="2"/>
      </tp>
      <tp t="s">
        <v>#N/A Requesting Data...4258787678</v>
        <stp/>
        <stp>BDP|1846686214870438761</stp>
        <tr r="C17" s="2"/>
      </tp>
      <tp t="s">
        <v>#N/A Requesting Data...4176703898</v>
        <stp/>
        <stp>BDP|718716575777837042</stp>
        <tr r="C18" s="2"/>
      </tp>
      <tp t="s">
        <v>#N/A Requesting Data...4286317784</v>
        <stp/>
        <stp>BDP|455082534592551096</stp>
        <tr r="C24" s="2"/>
      </tp>
      <tp t="s">
        <v>#N/A Requesting Data...4230165334</v>
        <stp/>
        <stp>BDP|145845670635548487</stp>
        <tr r="C29" s="2"/>
      </tp>
      <tp t="s">
        <v>#N/A Requesting Data...4276853625</v>
        <stp/>
        <stp>BDP|979185219438066386</stp>
        <tr r="C20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volatileDependencies" Target="volatileDependenci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Z415"/>
  <sheetViews>
    <sheetView topLeftCell="R391" zoomScale="115" zoomScaleNormal="115" workbookViewId="0">
      <selection activeCell="B14" sqref="B14:Z415"/>
    </sheetView>
  </sheetViews>
  <sheetFormatPr baseColWidth="10" defaultColWidth="9.140625" defaultRowHeight="15" x14ac:dyDescent="0.25"/>
  <cols>
    <col min="1" max="1" width="13.28515625" customWidth="1"/>
    <col min="2" max="2" width="19.85546875" customWidth="1"/>
    <col min="3" max="3" width="11.42578125" style="26" customWidth="1"/>
    <col min="4" max="4" width="11.7109375" style="26" customWidth="1"/>
    <col min="5" max="6" width="24.140625" style="26" customWidth="1"/>
    <col min="7" max="7" width="17.85546875" style="27" bestFit="1" customWidth="1"/>
    <col min="8" max="9" width="18.85546875" style="28" bestFit="1" customWidth="1"/>
    <col min="10" max="10" width="16.5703125" style="26" customWidth="1"/>
    <col min="11" max="11" width="19.5703125" style="29" customWidth="1"/>
    <col min="12" max="12" width="16" style="26" customWidth="1"/>
    <col min="13" max="13" width="19.140625" style="30" customWidth="1"/>
    <col min="14" max="14" width="18.85546875" style="29" customWidth="1"/>
    <col min="15" max="15" width="25.5703125" style="31" customWidth="1"/>
    <col min="16" max="16" width="30.28515625" style="31" customWidth="1"/>
    <col min="17" max="17" width="25.5703125" style="31" customWidth="1"/>
    <col min="18" max="18" width="29.28515625" style="29" bestFit="1" customWidth="1"/>
    <col min="19" max="19" width="26.7109375" style="29" bestFit="1" customWidth="1"/>
    <col min="20" max="22" width="25.5703125" style="29" customWidth="1"/>
    <col min="23" max="23" width="22" bestFit="1" customWidth="1"/>
    <col min="24" max="24" width="25.42578125" bestFit="1" customWidth="1"/>
    <col min="25" max="25" width="26.7109375" bestFit="1" customWidth="1"/>
    <col min="26" max="26" width="14.7109375" bestFit="1" customWidth="1"/>
  </cols>
  <sheetData>
    <row r="2" spans="2:26" x14ac:dyDescent="0.25">
      <c r="B2" t="s">
        <v>38</v>
      </c>
      <c r="C2" s="8" t="s">
        <v>24</v>
      </c>
    </row>
    <row r="3" spans="2:26" x14ac:dyDescent="0.25">
      <c r="B3" s="39" t="s">
        <v>251</v>
      </c>
      <c r="C3" s="26" t="str">
        <f>_xll.BDP(B3&amp;" Equity",C2)</f>
        <v>#N/A Connection</v>
      </c>
      <c r="E3" s="26" t="s">
        <v>41</v>
      </c>
    </row>
    <row r="4" spans="2:26" ht="15.75" thickBot="1" x14ac:dyDescent="0.3"/>
    <row r="5" spans="2:26" x14ac:dyDescent="0.25">
      <c r="B5" t="s">
        <v>36</v>
      </c>
      <c r="C5" s="37" t="s">
        <v>252</v>
      </c>
      <c r="E5" s="26" t="s">
        <v>42</v>
      </c>
    </row>
    <row r="6" spans="2:26" ht="15.75" thickBot="1" x14ac:dyDescent="0.3">
      <c r="B6" t="s">
        <v>37</v>
      </c>
      <c r="C6" s="38">
        <v>0.2</v>
      </c>
      <c r="E6" s="26" t="s">
        <v>44</v>
      </c>
    </row>
    <row r="8" spans="2:26" s="8" customFormat="1" x14ac:dyDescent="0.25">
      <c r="B8" s="1" t="s">
        <v>0</v>
      </c>
      <c r="C8" s="2"/>
      <c r="D8" s="2"/>
      <c r="E8" s="2"/>
      <c r="F8" s="2"/>
      <c r="G8" s="3"/>
      <c r="H8" s="4"/>
      <c r="I8" s="4"/>
      <c r="J8" s="2"/>
      <c r="K8" s="5"/>
      <c r="L8" s="2"/>
      <c r="M8" s="6"/>
      <c r="N8" s="5"/>
      <c r="O8" s="7"/>
      <c r="P8" s="7"/>
      <c r="Q8" s="7"/>
      <c r="R8" s="5"/>
      <c r="S8" s="5"/>
      <c r="T8" s="5"/>
      <c r="U8" s="5"/>
      <c r="V8" s="5"/>
    </row>
    <row r="9" spans="2:26" s="8" customFormat="1" x14ac:dyDescent="0.25">
      <c r="B9" s="1" t="s">
        <v>116</v>
      </c>
      <c r="C9" s="2"/>
      <c r="D9" s="2"/>
      <c r="E9" s="2"/>
      <c r="F9" s="2"/>
      <c r="G9" s="3"/>
      <c r="H9" s="4"/>
      <c r="I9" s="4"/>
      <c r="J9" s="2"/>
      <c r="K9" s="5"/>
      <c r="L9" s="2"/>
      <c r="M9" s="6"/>
      <c r="N9" s="5"/>
      <c r="O9" s="7"/>
      <c r="P9" s="7"/>
      <c r="Q9" s="7"/>
      <c r="R9" s="5"/>
      <c r="S9" s="5"/>
      <c r="T9" s="5"/>
      <c r="U9" s="5"/>
      <c r="V9" s="5"/>
    </row>
    <row r="10" spans="2:26" s="8" customFormat="1" x14ac:dyDescent="0.25">
      <c r="B10" s="40" t="str">
        <f>Imput!C49</f>
        <v>FOR(filter(equitiesuniv(['active','primary']),(CNTRY_OF_DOMICILE=='IL') AND CUR_MKT_CAP &gt;0.2B))with(mode=cached)</v>
      </c>
      <c r="C10" s="2"/>
      <c r="D10" s="2"/>
      <c r="E10" s="9"/>
      <c r="F10"/>
      <c r="G10" s="10"/>
      <c r="H10"/>
      <c r="I10" s="11"/>
      <c r="J10" s="2"/>
      <c r="K10" s="5"/>
      <c r="L10" s="2"/>
      <c r="M10" s="6"/>
      <c r="N10" s="5"/>
      <c r="O10" s="7"/>
      <c r="P10" s="7"/>
      <c r="Q10" s="7"/>
      <c r="R10" s="5"/>
      <c r="S10" s="5"/>
      <c r="T10" s="5"/>
      <c r="U10" s="5"/>
      <c r="V10" s="5"/>
    </row>
    <row r="11" spans="2:26" s="8" customFormat="1" x14ac:dyDescent="0.25">
      <c r="B11" s="1"/>
      <c r="C11" s="2"/>
      <c r="D11" s="2"/>
      <c r="E11" s="9"/>
      <c r="F11"/>
      <c r="G11" s="10"/>
      <c r="H11"/>
      <c r="I11" s="11"/>
      <c r="J11" s="2"/>
      <c r="K11" s="5"/>
      <c r="L11" s="2"/>
      <c r="M11" s="6"/>
      <c r="N11" s="5"/>
      <c r="O11" s="7"/>
      <c r="P11" s="7"/>
      <c r="Q11" s="7"/>
      <c r="R11" s="5"/>
      <c r="S11" s="5"/>
      <c r="T11" s="5"/>
      <c r="U11" s="5"/>
      <c r="V11" s="5"/>
    </row>
    <row r="12" spans="2:26" s="12" customFormat="1" x14ac:dyDescent="0.25">
      <c r="C12" s="12" t="s">
        <v>122</v>
      </c>
      <c r="D12" s="13" t="s">
        <v>1</v>
      </c>
      <c r="E12" s="13" t="s">
        <v>2</v>
      </c>
      <c r="F12" s="13" t="s">
        <v>3</v>
      </c>
      <c r="G12" s="13" t="s">
        <v>4</v>
      </c>
      <c r="H12" s="14" t="s">
        <v>5</v>
      </c>
      <c r="I12" s="15" t="s">
        <v>6</v>
      </c>
      <c r="J12" s="15" t="s">
        <v>7</v>
      </c>
      <c r="K12" s="13" t="s">
        <v>8</v>
      </c>
      <c r="L12" s="16" t="s">
        <v>9</v>
      </c>
      <c r="M12" s="16" t="s">
        <v>10</v>
      </c>
      <c r="N12" s="17" t="s">
        <v>11</v>
      </c>
      <c r="O12" s="18" t="s">
        <v>12</v>
      </c>
      <c r="P12" s="19" t="s">
        <v>13</v>
      </c>
      <c r="Q12" s="19" t="s">
        <v>14</v>
      </c>
      <c r="R12" s="19" t="s">
        <v>15</v>
      </c>
      <c r="S12" s="16" t="s">
        <v>16</v>
      </c>
      <c r="T12" s="16" t="s">
        <v>17</v>
      </c>
      <c r="U12" s="16" t="s">
        <v>18</v>
      </c>
      <c r="V12" s="16" t="s">
        <v>19</v>
      </c>
      <c r="W12" s="16" t="s">
        <v>20</v>
      </c>
      <c r="X12" s="12" t="s">
        <v>21</v>
      </c>
      <c r="Y12" s="12" t="s">
        <v>22</v>
      </c>
      <c r="Z12" s="12" t="s">
        <v>23</v>
      </c>
    </row>
    <row r="13" spans="2:26" s="1" customFormat="1" x14ac:dyDescent="0.25">
      <c r="B13" s="32" t="s">
        <v>1063</v>
      </c>
      <c r="C13" s="20" t="s">
        <v>117</v>
      </c>
      <c r="D13" s="20" t="s">
        <v>45</v>
      </c>
      <c r="E13" s="20" t="s">
        <v>46</v>
      </c>
      <c r="F13" s="20" t="s">
        <v>47</v>
      </c>
      <c r="G13" s="21" t="s">
        <v>48</v>
      </c>
      <c r="H13" s="11" t="s">
        <v>49</v>
      </c>
      <c r="I13" s="11" t="s">
        <v>50</v>
      </c>
      <c r="J13" s="20" t="s">
        <v>51</v>
      </c>
      <c r="K13" s="22" t="s">
        <v>52</v>
      </c>
      <c r="L13" s="20" t="s">
        <v>53</v>
      </c>
      <c r="M13" s="23" t="s">
        <v>54</v>
      </c>
      <c r="N13" s="22" t="s">
        <v>55</v>
      </c>
      <c r="O13" s="1" t="s">
        <v>56</v>
      </c>
      <c r="P13" s="1" t="s">
        <v>57</v>
      </c>
      <c r="Q13" s="1" t="s">
        <v>58</v>
      </c>
      <c r="R13" s="22" t="s">
        <v>59</v>
      </c>
      <c r="S13" s="22" t="s">
        <v>60</v>
      </c>
      <c r="T13" s="22" t="s">
        <v>61</v>
      </c>
      <c r="U13" s="22" t="s">
        <v>62</v>
      </c>
      <c r="V13" s="22" t="s">
        <v>63</v>
      </c>
      <c r="W13" s="1" t="s">
        <v>64</v>
      </c>
      <c r="X13" s="1" t="s">
        <v>118</v>
      </c>
      <c r="Y13" s="1" t="s">
        <v>119</v>
      </c>
      <c r="Z13" s="1" t="s">
        <v>120</v>
      </c>
    </row>
    <row r="14" spans="2:26" s="1" customFormat="1" x14ac:dyDescent="0.25">
      <c r="B14" s="1" t="s">
        <v>253</v>
      </c>
      <c r="C14" s="9" t="s">
        <v>254</v>
      </c>
      <c r="D14" s="9">
        <v>4.2568717552487548E-2</v>
      </c>
      <c r="E14" s="9">
        <v>3.8490292468313501E-2</v>
      </c>
      <c r="F14" s="9">
        <v>4.2257981897079536E-2</v>
      </c>
      <c r="G14" s="10">
        <v>3.8334496785264106E-2</v>
      </c>
      <c r="H14" s="11">
        <v>-0.28956262622229484</v>
      </c>
      <c r="I14" s="11">
        <v>47.257597008192953</v>
      </c>
      <c r="J14" s="9">
        <v>39.740353568689009</v>
      </c>
      <c r="K14" s="22">
        <v>0.48776638071953576</v>
      </c>
      <c r="L14" s="9">
        <v>54.223289719626166</v>
      </c>
      <c r="M14" s="24">
        <v>0.30873186682308174</v>
      </c>
      <c r="N14" s="22" t="e">
        <v>#N/A</v>
      </c>
      <c r="O14" s="1">
        <v>15.760342840489438</v>
      </c>
      <c r="P14" s="1">
        <v>6403121000</v>
      </c>
      <c r="Q14" s="1">
        <v>6429144000</v>
      </c>
      <c r="R14" s="22">
        <v>1186804224</v>
      </c>
      <c r="S14" s="22">
        <v>84.499616498442364</v>
      </c>
      <c r="T14" s="22">
        <v>125.73181955389094</v>
      </c>
      <c r="U14" s="22">
        <v>-38.942311684930438</v>
      </c>
      <c r="V14" s="22">
        <v>14.866751715201254</v>
      </c>
      <c r="W14">
        <v>0.7980143674554675</v>
      </c>
      <c r="X14" t="s">
        <v>66</v>
      </c>
      <c r="Y14" t="s">
        <v>78</v>
      </c>
      <c r="Z14" t="s">
        <v>121</v>
      </c>
    </row>
    <row r="15" spans="2:26" s="1" customFormat="1" x14ac:dyDescent="0.25">
      <c r="B15" s="25" t="s">
        <v>255</v>
      </c>
      <c r="C15" s="9" t="s">
        <v>256</v>
      </c>
      <c r="D15" s="9">
        <v>0.46840319192737773</v>
      </c>
      <c r="E15" s="9">
        <v>0.60027013389916029</v>
      </c>
      <c r="F15" s="9">
        <v>0.14749432161840295</v>
      </c>
      <c r="G15" s="10">
        <v>0.19741306222418678</v>
      </c>
      <c r="H15" s="11">
        <v>5.8988872518487119</v>
      </c>
      <c r="I15" s="11">
        <v>13.683152589128351</v>
      </c>
      <c r="J15" s="9">
        <v>15.078193423385635</v>
      </c>
      <c r="K15" s="22">
        <v>0.14093710700208412</v>
      </c>
      <c r="L15" s="9" t="e">
        <v>#N/A</v>
      </c>
      <c r="M15" s="24">
        <v>0.65894862319704373</v>
      </c>
      <c r="N15" s="22" t="e">
        <v>#N/A</v>
      </c>
      <c r="O15" s="1">
        <v>12.542559301154679</v>
      </c>
      <c r="P15" s="1">
        <v>453849000</v>
      </c>
      <c r="Q15" s="1">
        <v>1380010000</v>
      </c>
      <c r="R15" s="22">
        <v>4405075456</v>
      </c>
      <c r="S15" s="22" t="e">
        <v>#N/A</v>
      </c>
      <c r="T15" s="22">
        <v>8.6691492930343337</v>
      </c>
      <c r="U15" s="22" t="e">
        <v>#N/A</v>
      </c>
      <c r="V15" s="22">
        <v>18.1906759848363</v>
      </c>
      <c r="W15">
        <v>2.0362034062880929</v>
      </c>
      <c r="X15" t="s">
        <v>91</v>
      </c>
      <c r="Y15" t="s">
        <v>94</v>
      </c>
      <c r="Z15" t="s">
        <v>257</v>
      </c>
    </row>
    <row r="16" spans="2:26" x14ac:dyDescent="0.25">
      <c r="B16" t="s">
        <v>258</v>
      </c>
      <c r="C16" s="26" t="s">
        <v>259</v>
      </c>
      <c r="D16" s="26">
        <v>7.976188378588317E-2</v>
      </c>
      <c r="E16" s="26">
        <v>4.6504926010721301E-2</v>
      </c>
      <c r="F16" s="26">
        <v>7.976188378588317E-2</v>
      </c>
      <c r="G16" s="27">
        <v>4.6504926010721301E-2</v>
      </c>
      <c r="H16" s="28">
        <v>1.944479612288259E-2</v>
      </c>
      <c r="I16" s="28">
        <v>125.24455229713367</v>
      </c>
      <c r="J16" s="26">
        <v>51.08998817126772</v>
      </c>
      <c r="K16" s="29">
        <v>0.33413172850216249</v>
      </c>
      <c r="L16" s="26">
        <v>8.5872886123325252</v>
      </c>
      <c r="M16" s="30">
        <v>0.46706197784839815</v>
      </c>
      <c r="N16" s="29" t="e">
        <v>#N/A</v>
      </c>
      <c r="O16">
        <v>24.519665384789299</v>
      </c>
      <c r="P16">
        <v>8449535000</v>
      </c>
      <c r="Q16">
        <v>8449535000</v>
      </c>
      <c r="R16" s="29">
        <v>3598438400</v>
      </c>
      <c r="S16" s="29">
        <v>18.417805127263126</v>
      </c>
      <c r="T16" s="29">
        <v>18.701866169270225</v>
      </c>
      <c r="U16" s="29">
        <v>0.88613438540451328</v>
      </c>
      <c r="V16" s="29" t="e">
        <v>#N/A</v>
      </c>
      <c r="W16">
        <v>0.78915781788898021</v>
      </c>
      <c r="X16" t="s">
        <v>66</v>
      </c>
      <c r="Y16" t="s">
        <v>78</v>
      </c>
      <c r="Z16" t="s">
        <v>121</v>
      </c>
    </row>
    <row r="17" spans="2:26" x14ac:dyDescent="0.25">
      <c r="B17" t="s">
        <v>260</v>
      </c>
      <c r="C17" s="26" t="s">
        <v>261</v>
      </c>
      <c r="D17" s="26">
        <v>9.0444538748043882E-2</v>
      </c>
      <c r="E17" s="26">
        <v>0.11974972677779103</v>
      </c>
      <c r="F17" s="26">
        <v>8.8729786095815055E-2</v>
      </c>
      <c r="G17" s="27">
        <v>0.11729307977538252</v>
      </c>
      <c r="H17" s="28">
        <v>12.9707056639506</v>
      </c>
      <c r="I17" s="28">
        <v>22.816629434285105</v>
      </c>
      <c r="J17" s="26">
        <v>27.106213017909518</v>
      </c>
      <c r="K17" s="29">
        <v>0.22430139022864262</v>
      </c>
      <c r="L17" s="26">
        <v>1.7774482770580791</v>
      </c>
      <c r="M17" s="30">
        <v>0.51324388861063674</v>
      </c>
      <c r="N17" s="29" t="e">
        <v>#N/A</v>
      </c>
      <c r="O17">
        <v>10.013229845167196</v>
      </c>
      <c r="P17">
        <v>2978345000</v>
      </c>
      <c r="Q17">
        <v>3040725000</v>
      </c>
      <c r="R17" s="29">
        <v>4277509888</v>
      </c>
      <c r="S17" s="29">
        <v>10.064075149286948</v>
      </c>
      <c r="T17" s="29">
        <v>14.54488537135537</v>
      </c>
      <c r="U17" s="29" t="e">
        <v>#N/A</v>
      </c>
      <c r="V17" s="29">
        <v>15.214328467001577</v>
      </c>
      <c r="W17">
        <v>2.0277993178440852</v>
      </c>
      <c r="X17" t="s">
        <v>76</v>
      </c>
      <c r="Y17" t="s">
        <v>153</v>
      </c>
      <c r="Z17" t="s">
        <v>189</v>
      </c>
    </row>
    <row r="18" spans="2:26" x14ac:dyDescent="0.25">
      <c r="B18" t="s">
        <v>262</v>
      </c>
      <c r="C18" s="26" t="s">
        <v>263</v>
      </c>
      <c r="D18" s="26">
        <v>2.2889153207895495E-2</v>
      </c>
      <c r="E18" s="26">
        <v>-1.4006686825478771E-2</v>
      </c>
      <c r="F18" s="26">
        <v>2.0372816052983321E-2</v>
      </c>
      <c r="G18" s="27">
        <v>-1.3529478114777942E-2</v>
      </c>
      <c r="H18" s="28" t="e">
        <v>#N/A</v>
      </c>
      <c r="I18" s="28">
        <v>9.7745691232867919</v>
      </c>
      <c r="J18" s="26">
        <v>8.4779780415053629</v>
      </c>
      <c r="K18" s="29">
        <v>0.34687842422802223</v>
      </c>
      <c r="L18" s="26" t="e">
        <v>#N/A</v>
      </c>
      <c r="M18" s="30">
        <v>0.45181131427590349</v>
      </c>
      <c r="N18" s="29" t="e">
        <v>#N/A</v>
      </c>
      <c r="O18" t="e">
        <v>#N/A</v>
      </c>
      <c r="P18">
        <v>162708000</v>
      </c>
      <c r="Q18">
        <v>168447000</v>
      </c>
      <c r="R18" s="29">
        <v>225874080</v>
      </c>
      <c r="S18" s="29" t="e">
        <v>#N/A</v>
      </c>
      <c r="T18" s="29" t="e">
        <v>#N/A</v>
      </c>
      <c r="U18" s="29" t="e">
        <v>#N/A</v>
      </c>
      <c r="V18" s="29" t="e">
        <v>#N/A</v>
      </c>
      <c r="W18">
        <v>2.1458071497107243</v>
      </c>
      <c r="X18" t="s">
        <v>65</v>
      </c>
      <c r="Y18" t="s">
        <v>149</v>
      </c>
      <c r="Z18" t="s">
        <v>164</v>
      </c>
    </row>
    <row r="19" spans="2:26" x14ac:dyDescent="0.25">
      <c r="B19" t="s">
        <v>264</v>
      </c>
      <c r="C19" s="26" t="s">
        <v>265</v>
      </c>
      <c r="D19" s="26">
        <v>2.7408762312214431E-2</v>
      </c>
      <c r="E19" s="26">
        <v>5.662939604789035E-2</v>
      </c>
      <c r="F19" s="26">
        <v>2.7081749322352335E-2</v>
      </c>
      <c r="G19" s="27">
        <v>5.5828899454401587E-2</v>
      </c>
      <c r="H19" s="28">
        <v>16.75334858192717</v>
      </c>
      <c r="I19" s="28">
        <v>2.1598025376194068</v>
      </c>
      <c r="J19" s="26">
        <v>9.4423911369077</v>
      </c>
      <c r="K19" s="29">
        <v>0.35284060237049153</v>
      </c>
      <c r="L19" s="26">
        <v>11.893604701302221</v>
      </c>
      <c r="M19" s="30">
        <v>0.25860810511766608</v>
      </c>
      <c r="N19" s="29" t="e">
        <v>#N/A</v>
      </c>
      <c r="O19">
        <v>34.691083315959432</v>
      </c>
      <c r="P19">
        <v>1427845000</v>
      </c>
      <c r="Q19">
        <v>1448318000</v>
      </c>
      <c r="R19" s="29">
        <v>2030049920</v>
      </c>
      <c r="S19" s="29">
        <v>37.113207258928902</v>
      </c>
      <c r="T19" s="29">
        <v>38.882761148757666</v>
      </c>
      <c r="U19" s="29">
        <v>-13.948622504810128</v>
      </c>
      <c r="V19" s="29">
        <v>21.249767332787776</v>
      </c>
      <c r="W19">
        <v>2.8572742325681548</v>
      </c>
      <c r="X19" t="s">
        <v>66</v>
      </c>
      <c r="Y19" t="s">
        <v>78</v>
      </c>
      <c r="Z19" t="s">
        <v>121</v>
      </c>
    </row>
    <row r="20" spans="2:26" x14ac:dyDescent="0.25">
      <c r="B20" t="s">
        <v>266</v>
      </c>
      <c r="C20" s="26" t="s">
        <v>267</v>
      </c>
      <c r="D20" s="26">
        <v>4.7050462326302035E-2</v>
      </c>
      <c r="E20" s="26">
        <v>0.15092787274888017</v>
      </c>
      <c r="F20" s="26">
        <v>4.6791934946985525E-2</v>
      </c>
      <c r="G20" s="27">
        <v>0.15014004583318177</v>
      </c>
      <c r="H20" s="28" t="e">
        <v>#N/A</v>
      </c>
      <c r="I20" s="28">
        <v>34.163992649080491</v>
      </c>
      <c r="J20" s="26">
        <v>82.222606141752706</v>
      </c>
      <c r="K20" s="29" t="e">
        <v>#N/A</v>
      </c>
      <c r="L20" s="26" t="e">
        <v>#N/A</v>
      </c>
      <c r="M20" s="30">
        <v>0.74167966096830662</v>
      </c>
      <c r="N20" s="29" t="e">
        <v>#N/A</v>
      </c>
      <c r="O20" t="e">
        <v>#N/A</v>
      </c>
      <c r="P20">
        <v>109390000</v>
      </c>
      <c r="Q20">
        <v>109964000</v>
      </c>
      <c r="R20" s="29">
        <v>293464608</v>
      </c>
      <c r="S20" s="29" t="e">
        <v>#N/A</v>
      </c>
      <c r="T20" s="29" t="e">
        <v>#N/A</v>
      </c>
      <c r="U20" s="29" t="e">
        <v>#N/A</v>
      </c>
      <c r="V20" s="29" t="e">
        <v>#N/A</v>
      </c>
      <c r="W20">
        <v>3.7760670278060147</v>
      </c>
      <c r="X20" t="s">
        <v>77</v>
      </c>
      <c r="Y20" t="s">
        <v>85</v>
      </c>
      <c r="Z20" t="s">
        <v>201</v>
      </c>
    </row>
    <row r="21" spans="2:26" x14ac:dyDescent="0.25">
      <c r="B21" t="s">
        <v>268</v>
      </c>
      <c r="C21" s="26" t="s">
        <v>269</v>
      </c>
      <c r="D21" s="26" t="e">
        <v>#N/A</v>
      </c>
      <c r="E21" s="26" t="e">
        <v>#N/A</v>
      </c>
      <c r="F21" s="26" t="e">
        <v>#N/A</v>
      </c>
      <c r="G21" s="27" t="e">
        <v>#N/A</v>
      </c>
      <c r="H21" s="28">
        <v>20.794869303274709</v>
      </c>
      <c r="I21" s="28" t="e">
        <v>#N/A</v>
      </c>
      <c r="J21" s="26" t="e">
        <v>#N/A</v>
      </c>
      <c r="K21" s="29">
        <v>-0.23932720302095645</v>
      </c>
      <c r="L21" s="26" t="e">
        <v>#N/A</v>
      </c>
      <c r="M21" s="30">
        <v>5.6819874224714025E-2</v>
      </c>
      <c r="N21" s="29" t="e">
        <v>#N/A</v>
      </c>
      <c r="O21">
        <v>20.759221247074926</v>
      </c>
      <c r="P21">
        <v>-36537000000</v>
      </c>
      <c r="Q21">
        <v>-36534000000</v>
      </c>
      <c r="R21" s="29">
        <v>5718510592</v>
      </c>
      <c r="S21" s="29" t="e">
        <v>#N/A</v>
      </c>
      <c r="T21" s="29" t="e">
        <v>#N/A</v>
      </c>
      <c r="U21" s="29" t="e">
        <v>#N/A</v>
      </c>
      <c r="V21" s="29">
        <v>5.4913969944219723</v>
      </c>
      <c r="W21">
        <v>1.0705866764275258</v>
      </c>
      <c r="X21" t="s">
        <v>66</v>
      </c>
      <c r="Y21" t="s">
        <v>67</v>
      </c>
      <c r="Z21" t="s">
        <v>68</v>
      </c>
    </row>
    <row r="22" spans="2:26" x14ac:dyDescent="0.25">
      <c r="B22" t="s">
        <v>270</v>
      </c>
      <c r="C22" s="26" t="s">
        <v>271</v>
      </c>
      <c r="D22" s="26">
        <v>0.76569854641475821</v>
      </c>
      <c r="E22" s="26">
        <v>1.1019789218287968</v>
      </c>
      <c r="F22" s="26">
        <v>0.76569854641475821</v>
      </c>
      <c r="G22" s="27">
        <v>1.1019789218287968</v>
      </c>
      <c r="H22" s="28" t="e">
        <v>#N/A</v>
      </c>
      <c r="I22" s="28">
        <v>91.266050691574947</v>
      </c>
      <c r="J22" s="26">
        <v>88.054276714320338</v>
      </c>
      <c r="K22" s="29" t="e">
        <v>#N/A</v>
      </c>
      <c r="L22" s="26" t="e">
        <v>#N/A</v>
      </c>
      <c r="M22" s="30">
        <v>0.85987464145330927</v>
      </c>
      <c r="N22" s="29" t="e">
        <v>#N/A</v>
      </c>
      <c r="O22" t="e">
        <v>#N/A</v>
      </c>
      <c r="P22">
        <v>13189000</v>
      </c>
      <c r="Q22">
        <v>13189000</v>
      </c>
      <c r="R22" s="29">
        <v>803845824</v>
      </c>
      <c r="S22" s="29" t="e">
        <v>#N/A</v>
      </c>
      <c r="T22" s="29" t="e">
        <v>#N/A</v>
      </c>
      <c r="U22" s="29" t="e">
        <v>#N/A</v>
      </c>
      <c r="V22" s="29" t="e">
        <v>#N/A</v>
      </c>
      <c r="W22">
        <v>6.5332650100656746</v>
      </c>
      <c r="X22" t="s">
        <v>69</v>
      </c>
      <c r="Y22" t="s">
        <v>159</v>
      </c>
      <c r="Z22" t="s">
        <v>186</v>
      </c>
    </row>
    <row r="23" spans="2:26" x14ac:dyDescent="0.25">
      <c r="B23" t="s">
        <v>272</v>
      </c>
      <c r="C23" s="26" t="s">
        <v>273</v>
      </c>
      <c r="D23" s="26">
        <v>3.773870596063441E-2</v>
      </c>
      <c r="E23" s="26">
        <v>4.0580716672788536E-2</v>
      </c>
      <c r="F23" s="26">
        <v>3.773870596063441E-2</v>
      </c>
      <c r="G23" s="27">
        <v>4.0580716672788536E-2</v>
      </c>
      <c r="H23" s="28">
        <v>-16.294448204204603</v>
      </c>
      <c r="I23" s="28">
        <v>79.130989568346592</v>
      </c>
      <c r="J23" s="26">
        <v>78.103191821691325</v>
      </c>
      <c r="K23" s="29">
        <v>0.49336230977931261</v>
      </c>
      <c r="L23" s="26">
        <v>11.436103061297617</v>
      </c>
      <c r="M23" s="30">
        <v>0.34360871439130303</v>
      </c>
      <c r="N23" s="29" t="e">
        <v>#N/A</v>
      </c>
      <c r="O23">
        <v>17.952215982545265</v>
      </c>
      <c r="P23">
        <v>30807588000</v>
      </c>
      <c r="Q23">
        <v>30807588000</v>
      </c>
      <c r="R23" s="29">
        <v>4947759616</v>
      </c>
      <c r="S23" s="29">
        <v>18.091683107887508</v>
      </c>
      <c r="T23" s="29">
        <v>19.784063683149</v>
      </c>
      <c r="U23" s="29">
        <v>1.7281761167921692</v>
      </c>
      <c r="V23" s="29" t="e">
        <v>#N/A</v>
      </c>
      <c r="W23">
        <v>0.6980735893718123</v>
      </c>
      <c r="X23" t="s">
        <v>66</v>
      </c>
      <c r="Y23" t="s">
        <v>78</v>
      </c>
      <c r="Z23" t="s">
        <v>123</v>
      </c>
    </row>
    <row r="24" spans="2:26" x14ac:dyDescent="0.25">
      <c r="B24" t="s">
        <v>274</v>
      </c>
      <c r="C24" s="26" t="s">
        <v>275</v>
      </c>
      <c r="D24" s="26">
        <v>2.6647728856720981E-2</v>
      </c>
      <c r="E24" s="26">
        <v>2.5099177795845608E-2</v>
      </c>
      <c r="F24" s="26">
        <v>2.5383086211782129E-2</v>
      </c>
      <c r="G24" s="27">
        <v>2.4130669164298572E-2</v>
      </c>
      <c r="H24" s="28">
        <v>-0.71514024546705657</v>
      </c>
      <c r="I24" s="28">
        <v>14.570799622823349</v>
      </c>
      <c r="J24" s="26">
        <v>14.430484379560646</v>
      </c>
      <c r="K24" s="29">
        <v>0.49580742089863072</v>
      </c>
      <c r="L24" s="26">
        <v>4.1380793560439031</v>
      </c>
      <c r="M24" s="30">
        <v>0.25997592569169298</v>
      </c>
      <c r="N24" s="29" t="e">
        <v>#N/A</v>
      </c>
      <c r="O24">
        <v>15.435009875637757</v>
      </c>
      <c r="P24">
        <v>1507898000</v>
      </c>
      <c r="Q24">
        <v>1568419000</v>
      </c>
      <c r="R24" s="29">
        <v>335018720</v>
      </c>
      <c r="S24" s="29">
        <v>5.4860526421281337</v>
      </c>
      <c r="T24" s="29">
        <v>34.443402713110011</v>
      </c>
      <c r="U24" s="29">
        <v>55.091548317061211</v>
      </c>
      <c r="V24" s="29">
        <v>96.500766342331261</v>
      </c>
      <c r="W24">
        <v>0.66246620088059127</v>
      </c>
      <c r="X24" t="s">
        <v>76</v>
      </c>
      <c r="Y24" t="s">
        <v>82</v>
      </c>
      <c r="Z24" t="s">
        <v>171</v>
      </c>
    </row>
    <row r="25" spans="2:26" x14ac:dyDescent="0.25">
      <c r="B25" t="s">
        <v>276</v>
      </c>
      <c r="C25" s="26" t="s">
        <v>277</v>
      </c>
      <c r="D25" s="26">
        <v>0.13329776262594811</v>
      </c>
      <c r="E25" s="26">
        <v>0.11705447011102969</v>
      </c>
      <c r="F25" s="26">
        <v>0.11778467379738178</v>
      </c>
      <c r="G25" s="27">
        <v>9.9023364513699003E-2</v>
      </c>
      <c r="H25" s="28">
        <v>6.3699452867041035</v>
      </c>
      <c r="I25" s="28">
        <v>9.8926038188413017</v>
      </c>
      <c r="J25" s="26">
        <v>9.456402635452573</v>
      </c>
      <c r="K25" s="29">
        <v>0.31031955897329261</v>
      </c>
      <c r="L25" s="26">
        <v>2.4655791872766901</v>
      </c>
      <c r="M25" s="30">
        <v>0.51455855832021558</v>
      </c>
      <c r="N25" s="29" t="e">
        <v>#N/A</v>
      </c>
      <c r="O25">
        <v>5.7621597025650333</v>
      </c>
      <c r="P25">
        <v>570478000</v>
      </c>
      <c r="Q25">
        <v>674356000</v>
      </c>
      <c r="R25" s="29">
        <v>374469216</v>
      </c>
      <c r="S25" s="29">
        <v>6.1924939637927086</v>
      </c>
      <c r="T25" s="29">
        <v>9.965136871776803</v>
      </c>
      <c r="U25" s="29">
        <v>18.865903252244909</v>
      </c>
      <c r="V25" s="29">
        <v>13.364302425705473</v>
      </c>
      <c r="W25">
        <v>0.80784802341100592</v>
      </c>
      <c r="X25" t="s">
        <v>77</v>
      </c>
      <c r="Y25" t="s">
        <v>83</v>
      </c>
      <c r="Z25" t="s">
        <v>194</v>
      </c>
    </row>
    <row r="26" spans="2:26" x14ac:dyDescent="0.25">
      <c r="B26" t="s">
        <v>278</v>
      </c>
      <c r="C26" s="26" t="s">
        <v>279</v>
      </c>
      <c r="D26" s="26">
        <v>-2.0337642066476445</v>
      </c>
      <c r="E26" s="26">
        <v>-2.4130596706116032</v>
      </c>
      <c r="F26" s="26">
        <v>-2.0337642066476445</v>
      </c>
      <c r="G26" s="27">
        <v>-2.4130596706116032</v>
      </c>
      <c r="H26" s="28">
        <v>-111.52765968411018</v>
      </c>
      <c r="I26" s="28" t="e">
        <v>#N/A</v>
      </c>
      <c r="J26" s="26" t="e">
        <v>#N/A</v>
      </c>
      <c r="K26" s="29">
        <v>-0.32710058368399619</v>
      </c>
      <c r="L26" s="26">
        <v>0.57632286995515691</v>
      </c>
      <c r="M26" s="30">
        <v>0.35723496674358629</v>
      </c>
      <c r="N26" s="29" t="e">
        <v>#N/A</v>
      </c>
      <c r="O26" t="e">
        <v>#N/A</v>
      </c>
      <c r="P26">
        <v>12083000</v>
      </c>
      <c r="Q26">
        <v>12083000</v>
      </c>
      <c r="R26" s="29">
        <v>503102848</v>
      </c>
      <c r="S26" s="29" t="e">
        <v>#N/A</v>
      </c>
      <c r="T26" s="29" t="e">
        <v>#N/A</v>
      </c>
      <c r="U26" s="29">
        <v>-24.537634096222785</v>
      </c>
      <c r="V26" s="29" t="e">
        <v>#N/A</v>
      </c>
      <c r="W26">
        <v>5.691558287467223</v>
      </c>
      <c r="X26" t="s">
        <v>73</v>
      </c>
      <c r="Y26" t="s">
        <v>96</v>
      </c>
      <c r="Z26" t="s">
        <v>104</v>
      </c>
    </row>
    <row r="27" spans="2:26" x14ac:dyDescent="0.25">
      <c r="B27" t="s">
        <v>280</v>
      </c>
      <c r="C27" s="26" t="s">
        <v>281</v>
      </c>
      <c r="D27" s="26">
        <v>4.6947698739884317E-2</v>
      </c>
      <c r="E27" s="26">
        <v>9.1041511925394072E-2</v>
      </c>
      <c r="F27" s="26">
        <v>4.6885812154501071E-2</v>
      </c>
      <c r="G27" s="27">
        <v>9.0929978805809913E-2</v>
      </c>
      <c r="H27" s="28">
        <v>13.576802841837765</v>
      </c>
      <c r="I27" s="28">
        <v>15.903232209309852</v>
      </c>
      <c r="J27" s="26">
        <v>20.422418899993723</v>
      </c>
      <c r="K27" s="29">
        <v>0.3202822340105852</v>
      </c>
      <c r="L27" s="26">
        <v>2.1820766367999203</v>
      </c>
      <c r="M27" s="30">
        <v>0.46981393888444362</v>
      </c>
      <c r="N27" s="29">
        <v>4.0327004297250696E-2</v>
      </c>
      <c r="O27">
        <v>11.095020781484557</v>
      </c>
      <c r="P27">
        <v>1938720000</v>
      </c>
      <c r="Q27">
        <v>1941098000</v>
      </c>
      <c r="R27" s="29">
        <v>2884197888</v>
      </c>
      <c r="S27" s="29">
        <v>10.150772882873175</v>
      </c>
      <c r="T27" s="29">
        <v>15.528433953093234</v>
      </c>
      <c r="U27" s="29">
        <v>8.7019687880722838</v>
      </c>
      <c r="V27" s="29">
        <v>20.290211010062155</v>
      </c>
      <c r="W27">
        <v>2.4871707307503255</v>
      </c>
      <c r="X27" t="s">
        <v>76</v>
      </c>
      <c r="Y27" t="s">
        <v>153</v>
      </c>
      <c r="Z27" t="s">
        <v>189</v>
      </c>
    </row>
    <row r="28" spans="2:26" x14ac:dyDescent="0.25">
      <c r="B28" t="s">
        <v>282</v>
      </c>
      <c r="C28" s="26" t="s">
        <v>283</v>
      </c>
      <c r="D28" s="26">
        <v>4.2331188256539899E-2</v>
      </c>
      <c r="E28" s="26">
        <v>2.9264847747584748E-2</v>
      </c>
      <c r="F28" s="26">
        <v>4.2331188256539899E-2</v>
      </c>
      <c r="G28" s="27">
        <v>2.9264847747584748E-2</v>
      </c>
      <c r="H28" s="28" t="e">
        <v>#N/A</v>
      </c>
      <c r="I28" s="28">
        <v>61.105816074123389</v>
      </c>
      <c r="J28" s="26">
        <v>56.032250830734107</v>
      </c>
      <c r="K28" s="29" t="e">
        <v>#N/A</v>
      </c>
      <c r="L28" s="26" t="e">
        <v>#N/A</v>
      </c>
      <c r="M28" s="30">
        <v>0.3016120844763247</v>
      </c>
      <c r="N28" s="29" t="e">
        <v>#N/A</v>
      </c>
      <c r="O28" t="e">
        <v>#N/A</v>
      </c>
      <c r="P28">
        <v>3598071000</v>
      </c>
      <c r="Q28">
        <v>3598071000</v>
      </c>
      <c r="R28" s="29">
        <v>410047680</v>
      </c>
      <c r="S28" s="29" t="e">
        <v>#N/A</v>
      </c>
      <c r="T28" s="29" t="e">
        <v>#N/A</v>
      </c>
      <c r="U28" s="29" t="e">
        <v>#N/A</v>
      </c>
      <c r="V28" s="29" t="e">
        <v>#N/A</v>
      </c>
      <c r="W28">
        <v>0.53557637672437008</v>
      </c>
      <c r="X28" t="s">
        <v>77</v>
      </c>
      <c r="Y28" t="s">
        <v>90</v>
      </c>
      <c r="Z28" t="s">
        <v>155</v>
      </c>
    </row>
    <row r="29" spans="2:26" x14ac:dyDescent="0.25">
      <c r="B29" t="s">
        <v>284</v>
      </c>
      <c r="C29" s="26" t="s">
        <v>285</v>
      </c>
      <c r="D29" s="26">
        <v>0.45238533903291456</v>
      </c>
      <c r="E29" s="26">
        <v>0.43850688313944158</v>
      </c>
      <c r="F29" s="26">
        <v>0.2526847442469814</v>
      </c>
      <c r="G29" s="27">
        <v>0.22829473780606463</v>
      </c>
      <c r="H29" s="28" t="e">
        <v>#N/A</v>
      </c>
      <c r="I29" s="28">
        <v>9.565679989594706</v>
      </c>
      <c r="J29" s="26">
        <v>11.394253321617104</v>
      </c>
      <c r="K29" s="29" t="e">
        <v>#N/A</v>
      </c>
      <c r="L29" s="26" t="e">
        <v>#N/A</v>
      </c>
      <c r="M29" s="30">
        <v>0.33746989929947463</v>
      </c>
      <c r="N29" s="29" t="e">
        <v>#N/A</v>
      </c>
      <c r="O29" t="e">
        <v>#N/A</v>
      </c>
      <c r="P29">
        <v>454807000</v>
      </c>
      <c r="Q29" s="31">
        <v>873590000</v>
      </c>
      <c r="R29" s="29">
        <v>916585984</v>
      </c>
      <c r="S29" s="29" t="e">
        <v>#N/A</v>
      </c>
      <c r="T29" s="29" t="e">
        <v>#N/A</v>
      </c>
      <c r="U29" s="29" t="e">
        <v>#N/A</v>
      </c>
      <c r="V29" s="29" t="e">
        <v>#N/A</v>
      </c>
      <c r="W29">
        <v>2.9152602295448213</v>
      </c>
      <c r="X29" t="s">
        <v>91</v>
      </c>
      <c r="Y29" t="s">
        <v>92</v>
      </c>
      <c r="Z29" t="s">
        <v>191</v>
      </c>
    </row>
    <row r="30" spans="2:26" x14ac:dyDescent="0.25">
      <c r="B30" t="s">
        <v>286</v>
      </c>
      <c r="C30" s="26" t="s">
        <v>287</v>
      </c>
      <c r="D30" s="26">
        <v>0.76287866220759559</v>
      </c>
      <c r="E30" s="26">
        <v>0.3743724868253453</v>
      </c>
      <c r="F30" s="26">
        <v>0.45758441357398344</v>
      </c>
      <c r="G30" s="27">
        <v>0.25577714736684937</v>
      </c>
      <c r="H30" s="28">
        <v>16.410131723207915</v>
      </c>
      <c r="I30" s="28">
        <v>11.268788319096711</v>
      </c>
      <c r="J30" s="26">
        <v>11.350683203486385</v>
      </c>
      <c r="K30" s="29">
        <v>0.235996896098284</v>
      </c>
      <c r="L30" s="26">
        <v>1.0603522426449095</v>
      </c>
      <c r="M30" s="30">
        <v>0.39435358573252172</v>
      </c>
      <c r="N30" s="29" t="e">
        <v>#N/A</v>
      </c>
      <c r="O30">
        <v>11.555994525655755</v>
      </c>
      <c r="P30">
        <v>480468000</v>
      </c>
      <c r="Q30">
        <v>703245000</v>
      </c>
      <c r="R30" s="29">
        <v>1774837376</v>
      </c>
      <c r="S30" s="29">
        <v>8.5291254728719714</v>
      </c>
      <c r="T30" s="29">
        <v>13.605493525869878</v>
      </c>
      <c r="U30" s="29">
        <v>7.0752397767850486</v>
      </c>
      <c r="V30" s="29">
        <v>24.149262003138485</v>
      </c>
      <c r="W30">
        <v>3.6865129938151453</v>
      </c>
      <c r="X30" t="s">
        <v>73</v>
      </c>
      <c r="Y30" t="s">
        <v>180</v>
      </c>
      <c r="Z30" t="s">
        <v>247</v>
      </c>
    </row>
    <row r="31" spans="2:26" x14ac:dyDescent="0.25">
      <c r="B31" t="s">
        <v>288</v>
      </c>
      <c r="C31" s="26" t="s">
        <v>289</v>
      </c>
      <c r="D31" s="26">
        <v>0.73286999137617115</v>
      </c>
      <c r="E31" s="26">
        <v>0.84041689665248875</v>
      </c>
      <c r="F31" s="26">
        <v>0.73286999137617115</v>
      </c>
      <c r="G31" s="27">
        <v>0.84041689665248875</v>
      </c>
      <c r="H31" s="28" t="e">
        <v>#N/A</v>
      </c>
      <c r="I31" s="28">
        <v>34.845782202286429</v>
      </c>
      <c r="J31" s="26">
        <v>36.653548305192331</v>
      </c>
      <c r="K31" s="29" t="e">
        <v>#N/A</v>
      </c>
      <c r="L31" s="26" t="e">
        <v>#N/A</v>
      </c>
      <c r="M31" s="30">
        <v>0.90095566573255725</v>
      </c>
      <c r="N31" s="29" t="e">
        <v>#N/A</v>
      </c>
      <c r="O31" t="e">
        <v>#N/A</v>
      </c>
      <c r="P31">
        <v>30799000</v>
      </c>
      <c r="Q31">
        <v>30799000</v>
      </c>
      <c r="R31" s="29">
        <v>1006845504</v>
      </c>
      <c r="S31" s="29" t="e">
        <v>#N/A</v>
      </c>
      <c r="T31" s="29" t="e">
        <v>#N/A</v>
      </c>
      <c r="U31" s="29" t="e">
        <v>#N/A</v>
      </c>
      <c r="V31" s="29" t="e">
        <v>#N/A</v>
      </c>
      <c r="W31">
        <v>2.110845060688828</v>
      </c>
      <c r="X31" t="s">
        <v>77</v>
      </c>
      <c r="Y31" t="s">
        <v>83</v>
      </c>
      <c r="Z31" t="s">
        <v>215</v>
      </c>
    </row>
    <row r="32" spans="2:26" x14ac:dyDescent="0.25">
      <c r="B32" t="s">
        <v>290</v>
      </c>
      <c r="C32" s="26" t="s">
        <v>291</v>
      </c>
      <c r="D32" s="26">
        <v>0.13633194993177147</v>
      </c>
      <c r="E32" s="26">
        <v>0.16651663715084938</v>
      </c>
      <c r="F32" s="26">
        <v>0.11724415014290886</v>
      </c>
      <c r="G32" s="27">
        <v>0.14647614676985335</v>
      </c>
      <c r="H32" s="28">
        <v>13.30699978098067</v>
      </c>
      <c r="I32" s="28">
        <v>11.419384834483738</v>
      </c>
      <c r="J32" s="26">
        <v>13.268646805553026</v>
      </c>
      <c r="K32" s="29">
        <v>0.27564852996984468</v>
      </c>
      <c r="L32" s="26">
        <v>1.7622843437201918</v>
      </c>
      <c r="M32" s="30">
        <v>0.40540697155849109</v>
      </c>
      <c r="N32" s="29" t="e">
        <v>#N/A</v>
      </c>
      <c r="O32">
        <v>7.3916398215371313</v>
      </c>
      <c r="P32">
        <v>1054237000</v>
      </c>
      <c r="Q32">
        <v>1198475000</v>
      </c>
      <c r="R32" s="29">
        <v>3839424768</v>
      </c>
      <c r="S32" s="29">
        <v>5.8804948646199025</v>
      </c>
      <c r="T32" s="29">
        <v>9.6153867938570663</v>
      </c>
      <c r="U32" s="29">
        <v>11.216624714342679</v>
      </c>
      <c r="V32" s="29">
        <v>12.310401996870899</v>
      </c>
      <c r="W32">
        <v>1.4902330409243565</v>
      </c>
      <c r="X32" t="s">
        <v>76</v>
      </c>
      <c r="Y32" t="s">
        <v>167</v>
      </c>
      <c r="Z32" t="s">
        <v>183</v>
      </c>
    </row>
    <row r="33" spans="2:26" x14ac:dyDescent="0.25">
      <c r="B33" t="s">
        <v>292</v>
      </c>
      <c r="C33" s="26" t="s">
        <v>293</v>
      </c>
      <c r="D33" s="26">
        <v>7.024535705483731E-2</v>
      </c>
      <c r="E33" s="26">
        <v>8.7253458251684186E-3</v>
      </c>
      <c r="F33" s="26">
        <v>6.7721780460183068E-2</v>
      </c>
      <c r="G33" s="27">
        <v>8.4877195950709191E-3</v>
      </c>
      <c r="H33" s="28" t="e">
        <v>#N/A</v>
      </c>
      <c r="I33" s="28">
        <v>8.1046029574604397</v>
      </c>
      <c r="J33" s="26">
        <v>4.8815479176531804</v>
      </c>
      <c r="K33" s="29" t="e">
        <v>#N/A</v>
      </c>
      <c r="L33" s="26" t="e">
        <v>#N/A</v>
      </c>
      <c r="M33" s="30">
        <v>0.55787860858200056</v>
      </c>
      <c r="N33" s="29" t="e">
        <v>#N/A</v>
      </c>
      <c r="O33" t="e">
        <v>#N/A</v>
      </c>
      <c r="P33">
        <v>172486000</v>
      </c>
      <c r="Q33">
        <v>177315000</v>
      </c>
      <c r="R33" s="29">
        <v>230506224</v>
      </c>
      <c r="S33" s="29" t="e">
        <v>#N/A</v>
      </c>
      <c r="T33" s="29" t="e">
        <v>#N/A</v>
      </c>
      <c r="U33" s="29" t="e">
        <v>#N/A</v>
      </c>
      <c r="V33" s="29" t="e">
        <v>#N/A</v>
      </c>
      <c r="W33">
        <v>0.49037078073113499</v>
      </c>
      <c r="X33" t="s">
        <v>73</v>
      </c>
      <c r="Y33" t="s">
        <v>169</v>
      </c>
      <c r="Z33" t="s">
        <v>192</v>
      </c>
    </row>
    <row r="34" spans="2:26" x14ac:dyDescent="0.25">
      <c r="B34" t="s">
        <v>294</v>
      </c>
      <c r="C34" s="26" t="s">
        <v>295</v>
      </c>
      <c r="D34" s="26">
        <v>1.8161078825362605E-2</v>
      </c>
      <c r="E34" s="26">
        <v>2.8637130164853222E-2</v>
      </c>
      <c r="F34" s="26">
        <v>1.8161078825362605E-2</v>
      </c>
      <c r="G34" s="27">
        <v>2.8637130164853222E-2</v>
      </c>
      <c r="H34" s="28">
        <v>5.0187684259881484</v>
      </c>
      <c r="I34" s="28">
        <v>56.149661423827283</v>
      </c>
      <c r="J34" s="26">
        <v>67.609225069208847</v>
      </c>
      <c r="K34" s="29">
        <v>0.47092384210942173</v>
      </c>
      <c r="L34" s="26">
        <v>14.965391138688078</v>
      </c>
      <c r="M34" s="30">
        <v>0.34693986240032326</v>
      </c>
      <c r="N34" s="29" t="e">
        <v>#N/A</v>
      </c>
      <c r="O34">
        <v>76.645681651077282</v>
      </c>
      <c r="P34">
        <v>3061026000</v>
      </c>
      <c r="Q34">
        <v>3061026000</v>
      </c>
      <c r="R34" s="29">
        <v>7364901888</v>
      </c>
      <c r="S34" s="29">
        <v>32.498866172714813</v>
      </c>
      <c r="T34" s="29">
        <v>56.434885072477677</v>
      </c>
      <c r="U34" s="29">
        <v>-26.547255646671022</v>
      </c>
      <c r="V34" s="29" t="e">
        <v>#N/A</v>
      </c>
      <c r="W34">
        <v>1.7326365066450273</v>
      </c>
      <c r="X34" t="s">
        <v>81</v>
      </c>
      <c r="Y34" t="s">
        <v>87</v>
      </c>
      <c r="Z34" t="s">
        <v>88</v>
      </c>
    </row>
    <row r="35" spans="2:26" x14ac:dyDescent="0.25">
      <c r="B35" t="s">
        <v>296</v>
      </c>
      <c r="C35" s="26" t="s">
        <v>297</v>
      </c>
      <c r="D35" s="26">
        <v>2.8441491430676914E-2</v>
      </c>
      <c r="E35" s="26">
        <v>2.1336836621441028E-2</v>
      </c>
      <c r="F35" s="26">
        <v>2.8441491430676914E-2</v>
      </c>
      <c r="G35" s="27">
        <v>2.1336836621441028E-2</v>
      </c>
      <c r="H35" s="28" t="e">
        <v>#N/A</v>
      </c>
      <c r="I35" s="28">
        <v>15.198298970814729</v>
      </c>
      <c r="J35" s="26">
        <v>11.483418277425056</v>
      </c>
      <c r="K35" s="29">
        <v>0.7509987039719449</v>
      </c>
      <c r="L35" s="26" t="e">
        <v>#N/A</v>
      </c>
      <c r="M35" s="30">
        <v>0.19272223069299385</v>
      </c>
      <c r="N35" s="29" t="e">
        <v>#N/A</v>
      </c>
      <c r="O35" t="e">
        <v>#N/A</v>
      </c>
      <c r="P35">
        <v>1192023000</v>
      </c>
      <c r="Q35">
        <v>1192023000</v>
      </c>
      <c r="R35" s="29">
        <v>263379248</v>
      </c>
      <c r="S35" s="29" t="e">
        <v>#N/A</v>
      </c>
      <c r="T35" s="29" t="e">
        <v>#N/A</v>
      </c>
      <c r="U35" s="29" t="e">
        <v>#N/A</v>
      </c>
      <c r="V35" s="29" t="e">
        <v>#N/A</v>
      </c>
      <c r="W35">
        <v>1.3411244837029404</v>
      </c>
      <c r="X35" t="s">
        <v>76</v>
      </c>
      <c r="Y35" t="s">
        <v>131</v>
      </c>
      <c r="Z35" t="s">
        <v>132</v>
      </c>
    </row>
    <row r="36" spans="2:26" x14ac:dyDescent="0.25">
      <c r="B36" t="s">
        <v>298</v>
      </c>
      <c r="C36" s="26" t="s">
        <v>299</v>
      </c>
      <c r="D36" s="26">
        <v>0.11747810363020524</v>
      </c>
      <c r="E36" s="26">
        <v>0.16422047446006632</v>
      </c>
      <c r="F36" s="26">
        <v>0.11643543302160742</v>
      </c>
      <c r="G36" s="27">
        <v>0.16227727988050467</v>
      </c>
      <c r="H36" s="28">
        <v>32.765477154828531</v>
      </c>
      <c r="I36" s="28">
        <v>18.507849882801995</v>
      </c>
      <c r="J36" s="26">
        <v>23.776057667719819</v>
      </c>
      <c r="K36" s="29">
        <v>0.4574594292972563</v>
      </c>
      <c r="L36" s="26">
        <v>6.9377658252824501</v>
      </c>
      <c r="M36" s="30">
        <v>0.24391829092847825</v>
      </c>
      <c r="N36" s="29" t="e">
        <v>#N/A</v>
      </c>
      <c r="O36">
        <v>19.92987522186511</v>
      </c>
      <c r="P36">
        <v>1185516000</v>
      </c>
      <c r="Q36">
        <v>1199712000</v>
      </c>
      <c r="R36" s="29">
        <v>441601344</v>
      </c>
      <c r="S36" s="29">
        <v>10.574630906619506</v>
      </c>
      <c r="T36" s="29">
        <v>10.702113366073013</v>
      </c>
      <c r="U36" s="29">
        <v>-58.824322781046611</v>
      </c>
      <c r="V36" s="29">
        <v>4.1894608003935767</v>
      </c>
      <c r="W36">
        <v>0.9786493943976825</v>
      </c>
      <c r="X36" t="s">
        <v>66</v>
      </c>
      <c r="Y36" t="s">
        <v>78</v>
      </c>
      <c r="Z36" t="s">
        <v>121</v>
      </c>
    </row>
    <row r="37" spans="2:26" x14ac:dyDescent="0.25">
      <c r="B37" t="s">
        <v>300</v>
      </c>
      <c r="C37" s="26" t="s">
        <v>301</v>
      </c>
      <c r="D37" s="26">
        <v>0.18435668518160789</v>
      </c>
      <c r="E37" s="26">
        <v>0.17998394432485829</v>
      </c>
      <c r="F37" s="26">
        <v>0.13826759935901578</v>
      </c>
      <c r="G37" s="27">
        <v>0.13766594460176068</v>
      </c>
      <c r="H37" s="28">
        <v>15.22815252949802</v>
      </c>
      <c r="I37" s="28">
        <v>7.3806180206299556</v>
      </c>
      <c r="J37" s="26">
        <v>9.3406491129485136</v>
      </c>
      <c r="K37" s="29">
        <v>0.32988547497863707</v>
      </c>
      <c r="L37" s="26">
        <v>3.7267677620543296</v>
      </c>
      <c r="M37" s="30">
        <v>0.16634832013619319</v>
      </c>
      <c r="N37" s="29" t="e">
        <v>#N/A</v>
      </c>
      <c r="O37">
        <v>13.057976391579782</v>
      </c>
      <c r="P37">
        <v>3448002000</v>
      </c>
      <c r="Q37">
        <v>4507905000</v>
      </c>
      <c r="R37" s="29">
        <v>5694207488</v>
      </c>
      <c r="S37" s="29">
        <v>10.398475112296937</v>
      </c>
      <c r="T37" s="29">
        <v>18.93641596483603</v>
      </c>
      <c r="U37" s="29">
        <v>-9.9282472792111935</v>
      </c>
      <c r="V37" s="29">
        <v>45.464818837855887</v>
      </c>
      <c r="W37">
        <v>3.585841732567479</v>
      </c>
      <c r="X37" t="s">
        <v>77</v>
      </c>
      <c r="Y37" t="s">
        <v>90</v>
      </c>
      <c r="Z37" t="s">
        <v>105</v>
      </c>
    </row>
    <row r="38" spans="2:26" x14ac:dyDescent="0.25">
      <c r="B38" t="s">
        <v>302</v>
      </c>
      <c r="C38" s="26" t="s">
        <v>303</v>
      </c>
      <c r="D38" s="26">
        <v>-3.3598654110329973E-2</v>
      </c>
      <c r="E38" s="26">
        <v>-1.6754113898965979E-2</v>
      </c>
      <c r="F38" s="26">
        <v>-3.3598654110329973E-2</v>
      </c>
      <c r="G38" s="27">
        <v>-1.6754113898965979E-2</v>
      </c>
      <c r="H38" s="28" t="e">
        <v>#N/A</v>
      </c>
      <c r="I38" s="28" t="e">
        <v>#N/A</v>
      </c>
      <c r="J38" s="26" t="e">
        <v>#N/A</v>
      </c>
      <c r="K38" s="29">
        <v>0.78418037183849831</v>
      </c>
      <c r="L38" s="26" t="e">
        <v>#N/A</v>
      </c>
      <c r="M38" s="30">
        <v>0.19320858897865903</v>
      </c>
      <c r="N38" s="29" t="e">
        <v>#N/A</v>
      </c>
      <c r="O38" t="e">
        <v>#N/A</v>
      </c>
      <c r="P38">
        <v>592929000</v>
      </c>
      <c r="Q38">
        <v>592929000</v>
      </c>
      <c r="R38" s="29">
        <v>206813520</v>
      </c>
      <c r="S38" s="29" t="e">
        <v>#N/A</v>
      </c>
      <c r="T38" s="29" t="e">
        <v>#N/A</v>
      </c>
      <c r="U38" s="29" t="e">
        <v>#N/A</v>
      </c>
      <c r="V38" s="29" t="e">
        <v>#N/A</v>
      </c>
      <c r="W38">
        <v>1.2619162388821388</v>
      </c>
      <c r="X38" t="s">
        <v>66</v>
      </c>
      <c r="Y38" t="s">
        <v>110</v>
      </c>
      <c r="Z38" t="s">
        <v>110</v>
      </c>
    </row>
    <row r="39" spans="2:26" x14ac:dyDescent="0.25">
      <c r="B39" t="s">
        <v>304</v>
      </c>
      <c r="C39" s="26" t="s">
        <v>305</v>
      </c>
      <c r="D39" s="26">
        <v>5.7749708243645101E-2</v>
      </c>
      <c r="E39" s="26">
        <v>6.048334550239988E-2</v>
      </c>
      <c r="F39" s="26">
        <v>5.7749708243645101E-2</v>
      </c>
      <c r="G39" s="27">
        <v>6.048334550239988E-2</v>
      </c>
      <c r="H39" s="28">
        <v>13.660037048211793</v>
      </c>
      <c r="I39" s="28">
        <v>21.830583171966346</v>
      </c>
      <c r="J39" s="26">
        <v>23.649334851122717</v>
      </c>
      <c r="K39" s="29">
        <v>0.29764221637849181</v>
      </c>
      <c r="L39" s="26">
        <v>3.1029321503101719</v>
      </c>
      <c r="M39" s="30">
        <v>0.45185426163755343</v>
      </c>
      <c r="N39" s="29" t="e">
        <v>#N/A</v>
      </c>
      <c r="O39">
        <v>14.154862574228769</v>
      </c>
      <c r="P39">
        <v>2647423000</v>
      </c>
      <c r="Q39">
        <v>2647423000</v>
      </c>
      <c r="R39" s="29">
        <v>992852224</v>
      </c>
      <c r="S39" s="29">
        <v>7.2004922335557211</v>
      </c>
      <c r="T39" s="29">
        <v>7.3911099441766419</v>
      </c>
      <c r="U39" s="29">
        <v>-33.488870948029422</v>
      </c>
      <c r="V39" s="29">
        <v>420.15582120598032</v>
      </c>
      <c r="W39">
        <v>0.82791767491199419</v>
      </c>
      <c r="X39" t="s">
        <v>66</v>
      </c>
      <c r="Y39" t="s">
        <v>78</v>
      </c>
      <c r="Z39" t="s">
        <v>121</v>
      </c>
    </row>
    <row r="40" spans="2:26" x14ac:dyDescent="0.25">
      <c r="B40" t="s">
        <v>306</v>
      </c>
      <c r="C40" s="26" t="s">
        <v>307</v>
      </c>
      <c r="D40" s="26" t="e">
        <v>#N/A</v>
      </c>
      <c r="E40" s="26" t="e">
        <v>#N/A</v>
      </c>
      <c r="F40" s="26" t="e">
        <v>#N/A</v>
      </c>
      <c r="G40" s="27" t="e">
        <v>#N/A</v>
      </c>
      <c r="H40" s="28">
        <v>14.042849535045676</v>
      </c>
      <c r="I40" s="28" t="e">
        <v>#N/A</v>
      </c>
      <c r="J40" s="26" t="e">
        <v>#N/A</v>
      </c>
      <c r="K40" s="29">
        <v>1.4983374063539136E-2</v>
      </c>
      <c r="L40" s="26" t="e">
        <v>#N/A</v>
      </c>
      <c r="M40" s="30">
        <v>6.5852730259204365E-2</v>
      </c>
      <c r="N40" s="29" t="e">
        <v>#N/A</v>
      </c>
      <c r="O40">
        <v>18.601040686212777</v>
      </c>
      <c r="P40">
        <v>916400000.00000012</v>
      </c>
      <c r="Q40">
        <v>916400000.00000012</v>
      </c>
      <c r="R40" s="29">
        <v>972439680</v>
      </c>
      <c r="S40" s="29" t="e">
        <v>#N/A</v>
      </c>
      <c r="T40" s="29" t="e">
        <v>#N/A</v>
      </c>
      <c r="U40" s="29" t="e">
        <v>#N/A</v>
      </c>
      <c r="V40" s="29">
        <v>5.6477732793522266</v>
      </c>
      <c r="W40">
        <v>0.77051967807629063</v>
      </c>
      <c r="X40" t="s">
        <v>66</v>
      </c>
      <c r="Y40" t="s">
        <v>67</v>
      </c>
      <c r="Z40" t="s">
        <v>68</v>
      </c>
    </row>
    <row r="41" spans="2:26" x14ac:dyDescent="0.25">
      <c r="B41" t="s">
        <v>308</v>
      </c>
      <c r="C41" s="26" t="s">
        <v>309</v>
      </c>
      <c r="D41" s="26">
        <v>-20.042038634777562</v>
      </c>
      <c r="E41" s="26">
        <v>-1.3678852383155946</v>
      </c>
      <c r="F41" s="26">
        <v>-20.042038634777562</v>
      </c>
      <c r="G41" s="27">
        <v>-1.3678852383155946</v>
      </c>
      <c r="H41" s="28" t="e">
        <v>#N/A</v>
      </c>
      <c r="I41" s="28" t="e">
        <v>#N/A</v>
      </c>
      <c r="J41" s="26" t="e">
        <v>#N/A</v>
      </c>
      <c r="K41" s="29" t="e">
        <v>#N/A</v>
      </c>
      <c r="L41" s="26" t="e">
        <v>#N/A</v>
      </c>
      <c r="M41" s="30">
        <v>0.88957794901485621</v>
      </c>
      <c r="N41" s="29" t="e">
        <v>#N/A</v>
      </c>
      <c r="O41" t="e">
        <v>#N/A</v>
      </c>
      <c r="P41">
        <v>43220000</v>
      </c>
      <c r="Q41" s="31">
        <v>43220000</v>
      </c>
      <c r="R41" s="29">
        <v>1021313408</v>
      </c>
      <c r="S41" s="29" t="e">
        <v>#N/A</v>
      </c>
      <c r="T41" s="29" t="e">
        <v>#N/A</v>
      </c>
      <c r="U41" s="29" t="e">
        <v>#N/A</v>
      </c>
      <c r="V41" s="29" t="e">
        <v>#N/A</v>
      </c>
      <c r="W41">
        <v>6.5145679547635194</v>
      </c>
      <c r="X41" t="s">
        <v>76</v>
      </c>
      <c r="Y41" t="s">
        <v>162</v>
      </c>
      <c r="Z41" t="s">
        <v>163</v>
      </c>
    </row>
    <row r="42" spans="2:26" x14ac:dyDescent="0.25">
      <c r="B42" t="s">
        <v>310</v>
      </c>
      <c r="C42" s="26" t="s">
        <v>311</v>
      </c>
      <c r="D42" s="26">
        <v>0.19618670765186424</v>
      </c>
      <c r="E42" s="26">
        <v>0.16788684428159145</v>
      </c>
      <c r="F42" s="26">
        <v>0.15904584934235538</v>
      </c>
      <c r="G42" s="27">
        <v>0.12822978097021531</v>
      </c>
      <c r="H42" s="28" t="e">
        <v>#N/A</v>
      </c>
      <c r="I42" s="28">
        <v>6.5340331427120546</v>
      </c>
      <c r="J42" s="26">
        <v>6.4712501007495771</v>
      </c>
      <c r="K42" s="29">
        <v>0.32096587910448898</v>
      </c>
      <c r="L42" s="26" t="e">
        <v>#N/A</v>
      </c>
      <c r="M42" s="30">
        <v>0.22021300824242609</v>
      </c>
      <c r="N42" s="29" t="e">
        <v>#N/A</v>
      </c>
      <c r="O42" t="e">
        <v>#N/A</v>
      </c>
      <c r="P42">
        <v>409913000</v>
      </c>
      <c r="Q42">
        <v>536685000</v>
      </c>
      <c r="R42" s="29">
        <v>313337344</v>
      </c>
      <c r="S42" s="29" t="e">
        <v>#N/A</v>
      </c>
      <c r="T42" s="29" t="e">
        <v>#N/A</v>
      </c>
      <c r="U42" s="29" t="e">
        <v>#N/A</v>
      </c>
      <c r="V42" s="29" t="e">
        <v>#N/A</v>
      </c>
      <c r="W42">
        <v>2.2073282839737187</v>
      </c>
      <c r="X42" t="s">
        <v>91</v>
      </c>
      <c r="Y42" t="s">
        <v>94</v>
      </c>
      <c r="Z42" t="s">
        <v>126</v>
      </c>
    </row>
    <row r="43" spans="2:26" x14ac:dyDescent="0.25">
      <c r="B43" t="s">
        <v>312</v>
      </c>
      <c r="C43" s="26" t="s">
        <v>313</v>
      </c>
      <c r="D43" s="26">
        <v>0.14508218248808608</v>
      </c>
      <c r="E43" s="26">
        <v>0.20022068769132198</v>
      </c>
      <c r="F43" s="26">
        <v>0.10661245616030075</v>
      </c>
      <c r="G43" s="27">
        <v>0.16274134541525082</v>
      </c>
      <c r="H43" s="28" t="e">
        <v>#N/A</v>
      </c>
      <c r="I43" s="28">
        <v>8.7974317489276643</v>
      </c>
      <c r="J43" s="26">
        <v>12.717504324060592</v>
      </c>
      <c r="K43" s="29">
        <v>0.56814217192777128</v>
      </c>
      <c r="L43" s="26" t="e">
        <v>#N/A</v>
      </c>
      <c r="M43" s="30">
        <v>0.23016586288973359</v>
      </c>
      <c r="N43" s="29" t="e">
        <v>#N/A</v>
      </c>
      <c r="O43" s="31" t="e">
        <v>#N/A</v>
      </c>
      <c r="P43" s="31">
        <v>561880000</v>
      </c>
      <c r="Q43" s="31">
        <v>691281000</v>
      </c>
      <c r="R43" s="29">
        <v>658702400</v>
      </c>
      <c r="S43" s="29" t="e">
        <v>#N/A</v>
      </c>
      <c r="T43" s="29" t="e">
        <v>#N/A</v>
      </c>
      <c r="U43" s="29" t="e">
        <v>#N/A</v>
      </c>
      <c r="V43" s="29" t="e">
        <v>#N/A</v>
      </c>
      <c r="W43">
        <v>2.3761627816935218</v>
      </c>
      <c r="X43" t="s">
        <v>71</v>
      </c>
      <c r="Y43" t="s">
        <v>75</v>
      </c>
      <c r="Z43" t="s">
        <v>157</v>
      </c>
    </row>
    <row r="44" spans="2:26" x14ac:dyDescent="0.25">
      <c r="B44" t="s">
        <v>314</v>
      </c>
      <c r="C44" s="26" t="s">
        <v>315</v>
      </c>
      <c r="D44" s="26">
        <v>5.5131790515169241E-2</v>
      </c>
      <c r="E44" s="26">
        <v>4.0304756800037055E-2</v>
      </c>
      <c r="F44" s="26">
        <v>5.5131790515169241E-2</v>
      </c>
      <c r="G44" s="27">
        <v>4.0304756800037055E-2</v>
      </c>
      <c r="H44" s="28">
        <v>15.643655032889194</v>
      </c>
      <c r="I44" s="28">
        <v>77.055595150102931</v>
      </c>
      <c r="J44" s="26">
        <v>68.844111442496541</v>
      </c>
      <c r="K44" s="29">
        <v>0.46664423578144026</v>
      </c>
      <c r="L44" s="26">
        <v>5.2630246116097403</v>
      </c>
      <c r="M44" s="30">
        <v>0.36517868119278984</v>
      </c>
      <c r="N44" s="29" t="e">
        <v>#N/A</v>
      </c>
      <c r="O44">
        <v>11.488860123644731</v>
      </c>
      <c r="P44">
        <v>12089640000</v>
      </c>
      <c r="Q44">
        <v>12089640000</v>
      </c>
      <c r="R44" s="29">
        <v>5330387456</v>
      </c>
      <c r="S44" s="29">
        <v>10.25693998048872</v>
      </c>
      <c r="T44" s="29">
        <v>10.306699370602354</v>
      </c>
      <c r="U44" s="29">
        <v>-13.837568208475087</v>
      </c>
      <c r="V44" s="29">
        <v>189.79528465505882</v>
      </c>
      <c r="W44">
        <v>1.2888800928433786</v>
      </c>
      <c r="X44" t="s">
        <v>76</v>
      </c>
      <c r="Y44" t="s">
        <v>131</v>
      </c>
      <c r="Z44" t="s">
        <v>132</v>
      </c>
    </row>
    <row r="45" spans="2:26" x14ac:dyDescent="0.25">
      <c r="B45" t="s">
        <v>316</v>
      </c>
      <c r="C45" s="26" t="s">
        <v>317</v>
      </c>
      <c r="D45" s="26">
        <v>4.099092397091799E-2</v>
      </c>
      <c r="E45" s="26">
        <v>3.0691954636885677E-2</v>
      </c>
      <c r="F45" s="26">
        <v>4.099092397091799E-2</v>
      </c>
      <c r="G45" s="27">
        <v>3.0691954636885677E-2</v>
      </c>
      <c r="H45" s="28">
        <v>15.207505743780109</v>
      </c>
      <c r="I45" s="28">
        <v>60.91381687603517</v>
      </c>
      <c r="J45" s="26">
        <v>70.478981228518549</v>
      </c>
      <c r="K45" s="29">
        <v>-0.23466277961287024</v>
      </c>
      <c r="L45" s="26">
        <v>-1.6384502416069229</v>
      </c>
      <c r="M45" s="30">
        <v>0.82928080081148658</v>
      </c>
      <c r="N45" s="29" t="e">
        <v>#N/A</v>
      </c>
      <c r="O45">
        <v>-4.8137765268460413</v>
      </c>
      <c r="P45">
        <v>1041022000</v>
      </c>
      <c r="Q45">
        <v>1041022000</v>
      </c>
      <c r="R45" s="29">
        <v>1399756160</v>
      </c>
      <c r="S45" s="29">
        <v>3.888324542841803</v>
      </c>
      <c r="T45" s="29">
        <v>3.8889233016800584</v>
      </c>
      <c r="U45" s="29">
        <v>2.8197768388459887</v>
      </c>
      <c r="V45" s="29">
        <v>35.449001143894307</v>
      </c>
      <c r="W45">
        <v>0.94703446684664505</v>
      </c>
      <c r="X45" t="s">
        <v>66</v>
      </c>
      <c r="Y45" t="s">
        <v>78</v>
      </c>
      <c r="Z45" t="s">
        <v>123</v>
      </c>
    </row>
    <row r="46" spans="2:26" x14ac:dyDescent="0.25">
      <c r="B46" t="s">
        <v>318</v>
      </c>
      <c r="C46" s="26" t="s">
        <v>319</v>
      </c>
      <c r="D46" s="26">
        <v>3.166842449293665E-2</v>
      </c>
      <c r="E46" s="26">
        <v>6.0335922855558784E-2</v>
      </c>
      <c r="F46" s="26">
        <v>3.166842449293665E-2</v>
      </c>
      <c r="G46" s="27">
        <v>6.0335922855558784E-2</v>
      </c>
      <c r="H46" s="28">
        <v>-6.506935751627231</v>
      </c>
      <c r="I46" s="28">
        <v>28.433328440435339</v>
      </c>
      <c r="J46" s="26">
        <v>31.254724707068167</v>
      </c>
      <c r="K46" s="29">
        <v>0.59156301035536563</v>
      </c>
      <c r="L46" s="26">
        <v>82.214291792175075</v>
      </c>
      <c r="M46" s="30">
        <v>0.34208780735814193</v>
      </c>
      <c r="N46" s="29" t="e">
        <v>#N/A</v>
      </c>
      <c r="O46">
        <v>49.422898060794736</v>
      </c>
      <c r="P46">
        <v>7272384000</v>
      </c>
      <c r="Q46">
        <v>7272384000</v>
      </c>
      <c r="R46" s="29">
        <v>2704195072</v>
      </c>
      <c r="S46" s="29">
        <v>142.27149081874032</v>
      </c>
      <c r="T46" s="29">
        <v>437.55967088872603</v>
      </c>
      <c r="U46" s="29">
        <v>-28.717491871828987</v>
      </c>
      <c r="V46" s="29">
        <v>23.31935198368415</v>
      </c>
      <c r="W46">
        <v>1.3970171389519974</v>
      </c>
      <c r="X46" t="s">
        <v>66</v>
      </c>
      <c r="Y46" t="s">
        <v>78</v>
      </c>
      <c r="Z46" t="s">
        <v>121</v>
      </c>
    </row>
    <row r="47" spans="2:26" x14ac:dyDescent="0.25">
      <c r="B47" t="s">
        <v>320</v>
      </c>
      <c r="C47" s="26" t="s">
        <v>321</v>
      </c>
      <c r="D47" s="26">
        <v>5.9167835558132778E-2</v>
      </c>
      <c r="E47" s="26">
        <v>5.8067065230259264E-2</v>
      </c>
      <c r="F47" s="26">
        <v>5.9167835558132778E-2</v>
      </c>
      <c r="G47" s="27">
        <v>5.8067065230259264E-2</v>
      </c>
      <c r="H47" s="28">
        <v>7.6388380198988193</v>
      </c>
      <c r="I47" s="28">
        <v>15.031088255923652</v>
      </c>
      <c r="J47" s="26">
        <v>18.015297177466095</v>
      </c>
      <c r="K47" s="29">
        <v>0.22775920358488586</v>
      </c>
      <c r="L47" s="26">
        <v>4.5494769681974461</v>
      </c>
      <c r="M47" s="30">
        <v>0.29305347934394083</v>
      </c>
      <c r="N47" s="29" t="e">
        <v>#N/A</v>
      </c>
      <c r="O47">
        <v>13.822543203123043</v>
      </c>
      <c r="P47">
        <v>3378800000</v>
      </c>
      <c r="Q47">
        <v>3378800000</v>
      </c>
      <c r="R47" s="29">
        <v>2457939200</v>
      </c>
      <c r="S47" s="29">
        <v>11.729484621608911</v>
      </c>
      <c r="T47" s="29">
        <v>11.826283469158746</v>
      </c>
      <c r="U47" s="29">
        <v>-34.537794913722848</v>
      </c>
      <c r="V47" s="29">
        <v>38.547662094246043</v>
      </c>
      <c r="W47">
        <v>1.2220110636594819</v>
      </c>
      <c r="X47" t="s">
        <v>66</v>
      </c>
      <c r="Y47" t="s">
        <v>78</v>
      </c>
      <c r="Z47" t="s">
        <v>121</v>
      </c>
    </row>
    <row r="48" spans="2:26" x14ac:dyDescent="0.25">
      <c r="B48" t="s">
        <v>322</v>
      </c>
      <c r="C48" s="26" t="s">
        <v>323</v>
      </c>
      <c r="D48" s="26">
        <v>-1.4005005798069663E-2</v>
      </c>
      <c r="E48" s="26">
        <v>-3.3248894538033265E-2</v>
      </c>
      <c r="F48" s="26">
        <v>-1.4005005798069663E-2</v>
      </c>
      <c r="G48" s="27">
        <v>-3.3248894538033265E-2</v>
      </c>
      <c r="H48" s="28">
        <v>-12.472414167360082</v>
      </c>
      <c r="I48" s="28">
        <v>58.09686189688189</v>
      </c>
      <c r="J48" s="26">
        <v>84.878536011129725</v>
      </c>
      <c r="K48" s="29">
        <v>0.60844686763397482</v>
      </c>
      <c r="L48" s="26">
        <v>7.1763564927637153</v>
      </c>
      <c r="M48" s="30">
        <v>0.29168511467280617</v>
      </c>
      <c r="N48" s="29" t="e">
        <v>#N/A</v>
      </c>
      <c r="O48">
        <v>-26.424599596946212</v>
      </c>
      <c r="P48">
        <v>223436000</v>
      </c>
      <c r="Q48">
        <v>223436000</v>
      </c>
      <c r="R48" s="29">
        <v>202464400</v>
      </c>
      <c r="S48" s="29">
        <v>10.700952305167355</v>
      </c>
      <c r="T48" s="29" t="e">
        <v>#N/A</v>
      </c>
      <c r="U48" s="29">
        <v>-48.870123640064875</v>
      </c>
      <c r="V48" s="29" t="e">
        <v>#N/A</v>
      </c>
      <c r="W48">
        <v>1.0384124875245695</v>
      </c>
      <c r="X48" t="s">
        <v>76</v>
      </c>
      <c r="Y48" t="s">
        <v>234</v>
      </c>
      <c r="Z48" t="s">
        <v>234</v>
      </c>
    </row>
    <row r="49" spans="2:26" x14ac:dyDescent="0.25">
      <c r="B49" t="s">
        <v>324</v>
      </c>
      <c r="C49" s="26" t="s">
        <v>325</v>
      </c>
      <c r="D49" s="26">
        <v>0.28342856582372677</v>
      </c>
      <c r="E49" s="26">
        <v>0.24032265712050449</v>
      </c>
      <c r="F49" s="26">
        <v>0.28342856582372677</v>
      </c>
      <c r="G49" s="27">
        <v>0.24032265712050449</v>
      </c>
      <c r="H49" s="28">
        <v>28.182170242428938</v>
      </c>
      <c r="I49" s="28">
        <v>79.297768938746103</v>
      </c>
      <c r="J49" s="26">
        <v>62.296415758494653</v>
      </c>
      <c r="K49" s="29">
        <v>0.29542036712179021</v>
      </c>
      <c r="L49" s="26">
        <v>1.5279919769099257</v>
      </c>
      <c r="M49" s="30">
        <v>0.42912225738831455</v>
      </c>
      <c r="N49" s="29" t="e">
        <v>#N/A</v>
      </c>
      <c r="O49">
        <v>-0.39614731522265212</v>
      </c>
      <c r="P49">
        <v>843620000</v>
      </c>
      <c r="Q49">
        <v>843620000</v>
      </c>
      <c r="R49" s="29">
        <v>3934904320</v>
      </c>
      <c r="S49" s="29">
        <v>5.6268898917751482</v>
      </c>
      <c r="T49" s="29">
        <v>7.1283282863902606</v>
      </c>
      <c r="U49" s="29">
        <v>11.945589039278492</v>
      </c>
      <c r="V49" s="29">
        <v>7.1856177839950206</v>
      </c>
      <c r="W49">
        <v>1.8543536594238319</v>
      </c>
      <c r="X49" t="s">
        <v>69</v>
      </c>
      <c r="Y49" t="s">
        <v>159</v>
      </c>
      <c r="Z49" t="s">
        <v>186</v>
      </c>
    </row>
    <row r="50" spans="2:26" x14ac:dyDescent="0.25">
      <c r="B50" t="s">
        <v>326</v>
      </c>
      <c r="C50" s="26" t="s">
        <v>327</v>
      </c>
      <c r="D50" s="26">
        <v>0.10899254794936372</v>
      </c>
      <c r="E50" s="26">
        <v>0.11762333011719704</v>
      </c>
      <c r="F50" s="26">
        <v>9.9599869391249596E-2</v>
      </c>
      <c r="G50" s="27">
        <v>0.10831069711883581</v>
      </c>
      <c r="H50" s="28">
        <v>4.0354920490924231</v>
      </c>
      <c r="I50" s="28" t="e">
        <v>#N/A</v>
      </c>
      <c r="J50" s="26" t="e">
        <v>#N/A</v>
      </c>
      <c r="K50" s="29">
        <v>7.597759097187709E-2</v>
      </c>
      <c r="L50" s="26" t="e">
        <v>#N/A</v>
      </c>
      <c r="M50" s="30">
        <v>6.7501768153998387E-2</v>
      </c>
      <c r="N50" s="29">
        <v>2.4974783423290611E-2</v>
      </c>
      <c r="O50">
        <v>22.116287399286652</v>
      </c>
      <c r="P50">
        <v>18599958000</v>
      </c>
      <c r="Q50">
        <v>20199196000</v>
      </c>
      <c r="R50" s="29">
        <v>9882796032</v>
      </c>
      <c r="S50" s="29" t="e">
        <v>#N/A</v>
      </c>
      <c r="T50" s="29">
        <v>26.543547026506022</v>
      </c>
      <c r="U50" s="29">
        <v>33.843367698474424</v>
      </c>
      <c r="V50" s="29">
        <v>33.456510374247273</v>
      </c>
      <c r="W50">
        <v>0.98492743547963746</v>
      </c>
      <c r="X50" t="s">
        <v>66</v>
      </c>
      <c r="Y50" t="s">
        <v>72</v>
      </c>
      <c r="Z50" t="s">
        <v>173</v>
      </c>
    </row>
    <row r="51" spans="2:26" x14ac:dyDescent="0.25">
      <c r="B51" t="s">
        <v>328</v>
      </c>
      <c r="C51" s="26" t="s">
        <v>329</v>
      </c>
      <c r="D51" s="26">
        <v>0.10824447458463268</v>
      </c>
      <c r="E51" s="26">
        <v>0.27667276733850898</v>
      </c>
      <c r="F51" s="26">
        <v>0.10824447458463268</v>
      </c>
      <c r="G51" s="27">
        <v>0.27667276733850898</v>
      </c>
      <c r="H51" s="28">
        <v>40.362729815164549</v>
      </c>
      <c r="I51" s="28" t="e">
        <v>#N/A</v>
      </c>
      <c r="J51" s="26">
        <v>83.769833505697335</v>
      </c>
      <c r="K51" s="29">
        <v>0.39323226975731973</v>
      </c>
      <c r="L51" s="26">
        <v>1.7266287825728117</v>
      </c>
      <c r="M51" s="30">
        <v>0.33739927125240776</v>
      </c>
      <c r="N51" s="29" t="e">
        <v>#N/A</v>
      </c>
      <c r="O51" t="e">
        <v>#N/A</v>
      </c>
      <c r="P51">
        <v>867663999.99999976</v>
      </c>
      <c r="Q51">
        <v>867663999.99999976</v>
      </c>
      <c r="R51" s="29">
        <v>3597511424</v>
      </c>
      <c r="S51" s="29">
        <v>5.3198554397495261</v>
      </c>
      <c r="T51" s="29">
        <v>5.9606490797181673</v>
      </c>
      <c r="U51" s="29">
        <v>15.761375997783931</v>
      </c>
      <c r="V51" s="29">
        <v>6.6756358019634305</v>
      </c>
      <c r="W51">
        <v>2.4218535843662412</v>
      </c>
      <c r="X51" t="s">
        <v>69</v>
      </c>
      <c r="Y51" t="s">
        <v>159</v>
      </c>
      <c r="Z51" t="s">
        <v>186</v>
      </c>
    </row>
    <row r="52" spans="2:26" x14ac:dyDescent="0.25">
      <c r="B52" t="s">
        <v>330</v>
      </c>
      <c r="C52" s="26" t="s">
        <v>331</v>
      </c>
      <c r="D52" s="26">
        <v>5.5103069118845063E-2</v>
      </c>
      <c r="E52" s="26">
        <v>1.8559917238480873E-2</v>
      </c>
      <c r="F52" s="26">
        <v>5.5097126466001359E-2</v>
      </c>
      <c r="G52" s="27">
        <v>1.853020397426235E-2</v>
      </c>
      <c r="H52" s="28" t="e">
        <v>#N/A</v>
      </c>
      <c r="I52" s="28">
        <v>25.997774557174399</v>
      </c>
      <c r="J52" s="26">
        <v>22.960678576721808</v>
      </c>
      <c r="K52" s="29" t="e">
        <v>#N/A</v>
      </c>
      <c r="L52" s="26" t="e">
        <v>#N/A</v>
      </c>
      <c r="M52" s="30">
        <v>0.78602291992338014</v>
      </c>
      <c r="N52" s="29" t="e">
        <v>#N/A</v>
      </c>
      <c r="O52" t="e">
        <v>#N/A</v>
      </c>
      <c r="P52">
        <v>618645000</v>
      </c>
      <c r="Q52">
        <v>619637000</v>
      </c>
      <c r="R52" s="29">
        <v>591219072</v>
      </c>
      <c r="S52" s="29" t="e">
        <v>#N/A</v>
      </c>
      <c r="T52" s="29" t="e">
        <v>#N/A</v>
      </c>
      <c r="U52" s="29" t="e">
        <v>#N/A</v>
      </c>
      <c r="V52" s="29" t="e">
        <v>#N/A</v>
      </c>
      <c r="W52">
        <v>0.70519087569470618</v>
      </c>
      <c r="X52" t="s">
        <v>77</v>
      </c>
      <c r="Y52" t="s">
        <v>102</v>
      </c>
      <c r="Z52" t="s">
        <v>112</v>
      </c>
    </row>
    <row r="53" spans="2:26" x14ac:dyDescent="0.25">
      <c r="B53" t="s">
        <v>332</v>
      </c>
      <c r="C53" s="26" t="s">
        <v>333</v>
      </c>
      <c r="D53" s="26">
        <v>-1.1377024865570103E-2</v>
      </c>
      <c r="E53" s="26">
        <v>-1.0445778697885677E-3</v>
      </c>
      <c r="F53" s="26">
        <v>-1.1377024865570103E-2</v>
      </c>
      <c r="G53" s="27">
        <v>-1.0445778697885677E-3</v>
      </c>
      <c r="H53" s="28">
        <v>14.391610112854908</v>
      </c>
      <c r="I53" s="28">
        <v>-51.524691380588116</v>
      </c>
      <c r="J53" s="26">
        <v>6.2552583693674304</v>
      </c>
      <c r="K53" s="29">
        <v>0.29047792894906854</v>
      </c>
      <c r="L53" s="26">
        <v>9.2745525837999487</v>
      </c>
      <c r="M53" s="30">
        <v>0.51549866774725039</v>
      </c>
      <c r="N53" s="29" t="e">
        <v>#N/A</v>
      </c>
      <c r="O53">
        <v>537.96084927114077</v>
      </c>
      <c r="P53">
        <v>1374718000</v>
      </c>
      <c r="Q53">
        <v>1374718000</v>
      </c>
      <c r="R53" s="29">
        <v>855598336</v>
      </c>
      <c r="S53" s="29">
        <v>22.408424026974657</v>
      </c>
      <c r="T53" s="29">
        <v>30.900806564275193</v>
      </c>
      <c r="U53" s="29">
        <v>-7.7760787042951884</v>
      </c>
      <c r="V53" s="29">
        <v>7.0733464287462953</v>
      </c>
      <c r="W53">
        <v>0.79327361097282578</v>
      </c>
      <c r="X53" t="s">
        <v>66</v>
      </c>
      <c r="Y53" t="s">
        <v>78</v>
      </c>
      <c r="Z53" t="s">
        <v>121</v>
      </c>
    </row>
    <row r="54" spans="2:26" x14ac:dyDescent="0.25">
      <c r="B54" t="s">
        <v>334</v>
      </c>
      <c r="C54" s="26" t="s">
        <v>335</v>
      </c>
      <c r="D54" s="26">
        <v>7.2642767302631195E-2</v>
      </c>
      <c r="E54" s="26">
        <v>5.5503636949900882E-2</v>
      </c>
      <c r="F54" s="26">
        <v>7.2437194214720141E-2</v>
      </c>
      <c r="G54" s="27">
        <v>5.5388542458949516E-2</v>
      </c>
      <c r="H54" s="28">
        <v>15.006355782190283</v>
      </c>
      <c r="I54" s="28">
        <v>58.568415018365329</v>
      </c>
      <c r="J54" s="26">
        <v>72.517720131530879</v>
      </c>
      <c r="K54" s="29">
        <v>0.1084924620772305</v>
      </c>
      <c r="L54" s="26">
        <v>0.82903720068415065</v>
      </c>
      <c r="M54" s="30">
        <v>0.71023594552220304</v>
      </c>
      <c r="N54" s="29" t="e">
        <v>#N/A</v>
      </c>
      <c r="O54">
        <v>-2.8257512509278491</v>
      </c>
      <c r="P54">
        <v>3231554000</v>
      </c>
      <c r="Q54">
        <v>3238269000</v>
      </c>
      <c r="R54" s="29">
        <v>2802927104</v>
      </c>
      <c r="S54" s="29">
        <v>5.859934620866591</v>
      </c>
      <c r="T54" s="29">
        <v>6.0903970328178785</v>
      </c>
      <c r="U54" s="29">
        <v>-5.4184070567965792</v>
      </c>
      <c r="V54" s="29">
        <v>17.790741297936872</v>
      </c>
      <c r="W54">
        <v>0.9355399977954828</v>
      </c>
      <c r="X54" t="s">
        <v>66</v>
      </c>
      <c r="Y54" t="s">
        <v>78</v>
      </c>
      <c r="Z54" t="s">
        <v>123</v>
      </c>
    </row>
    <row r="55" spans="2:26" x14ac:dyDescent="0.25">
      <c r="B55" t="s">
        <v>336</v>
      </c>
      <c r="C55" s="26" t="s">
        <v>337</v>
      </c>
      <c r="D55" s="26">
        <v>0.58014860217217279</v>
      </c>
      <c r="E55" s="26">
        <v>0.43223489649345165</v>
      </c>
      <c r="F55" s="26">
        <v>0.58014860217217279</v>
      </c>
      <c r="G55" s="27">
        <v>0.43223489649345165</v>
      </c>
      <c r="H55" s="28">
        <v>21.258435163231805</v>
      </c>
      <c r="I55" s="28">
        <v>27.080976127852779</v>
      </c>
      <c r="J55" s="26">
        <v>25.288767621646201</v>
      </c>
      <c r="K55" s="29">
        <v>-0.56208413676977809</v>
      </c>
      <c r="L55" s="26">
        <v>-2.3264950539568345</v>
      </c>
      <c r="M55" s="30">
        <v>0.87875125607669535</v>
      </c>
      <c r="N55" s="29" t="e">
        <v>#N/A</v>
      </c>
      <c r="O55">
        <v>14.656808949589367</v>
      </c>
      <c r="P55">
        <v>23670000</v>
      </c>
      <c r="Q55">
        <v>23670000</v>
      </c>
      <c r="R55" s="29">
        <v>320008000</v>
      </c>
      <c r="S55" s="29">
        <v>3.6457351618705034</v>
      </c>
      <c r="T55" s="29">
        <v>3.8288719674163274</v>
      </c>
      <c r="U55" s="29">
        <v>9.3608692685848141</v>
      </c>
      <c r="V55" s="29">
        <v>9.7009805522343378</v>
      </c>
      <c r="W55">
        <v>1.9795153852291585</v>
      </c>
      <c r="X55" t="s">
        <v>77</v>
      </c>
      <c r="Y55" t="s">
        <v>111</v>
      </c>
      <c r="Z55" t="s">
        <v>214</v>
      </c>
    </row>
    <row r="56" spans="2:26" x14ac:dyDescent="0.25">
      <c r="B56" t="s">
        <v>338</v>
      </c>
      <c r="C56" s="26" t="s">
        <v>339</v>
      </c>
      <c r="D56" s="26" t="e">
        <v>#N/A</v>
      </c>
      <c r="E56" s="26">
        <v>0.31746396810794236</v>
      </c>
      <c r="F56" s="26" t="e">
        <v>#N/A</v>
      </c>
      <c r="G56" s="27">
        <v>0.31746396810794236</v>
      </c>
      <c r="H56" s="28" t="e">
        <v>#N/A</v>
      </c>
      <c r="I56" s="28">
        <v>25.040763364497685</v>
      </c>
      <c r="J56" s="26">
        <v>34.923585405964246</v>
      </c>
      <c r="K56" s="29" t="e">
        <v>#N/A</v>
      </c>
      <c r="L56" s="26" t="e">
        <v>#N/A</v>
      </c>
      <c r="M56" s="30">
        <v>0.37217251969555348</v>
      </c>
      <c r="N56" s="29" t="e">
        <v>#N/A</v>
      </c>
      <c r="O56" t="e">
        <v>#N/A</v>
      </c>
      <c r="P56">
        <v>613068000</v>
      </c>
      <c r="Q56">
        <v>613068000</v>
      </c>
      <c r="R56" s="29">
        <v>456185344</v>
      </c>
      <c r="S56" s="29" t="e">
        <v>#N/A</v>
      </c>
      <c r="T56" s="29" t="e">
        <v>#N/A</v>
      </c>
      <c r="U56" s="29" t="e">
        <v>#N/A</v>
      </c>
      <c r="V56" s="29" t="e">
        <v>#N/A</v>
      </c>
      <c r="W56">
        <v>0.92385160878300798</v>
      </c>
      <c r="X56" t="s">
        <v>66</v>
      </c>
      <c r="Y56" t="s">
        <v>78</v>
      </c>
      <c r="Z56" t="s">
        <v>121</v>
      </c>
    </row>
    <row r="57" spans="2:26" x14ac:dyDescent="0.25">
      <c r="B57" t="s">
        <v>340</v>
      </c>
      <c r="C57" s="26" t="s">
        <v>341</v>
      </c>
      <c r="D57" s="26">
        <v>0.19511718782338983</v>
      </c>
      <c r="E57" s="26">
        <v>0.46649827173624037</v>
      </c>
      <c r="F57" s="26">
        <v>0.18351232767322739</v>
      </c>
      <c r="G57" s="27">
        <v>0.43704072736330801</v>
      </c>
      <c r="H57" s="28">
        <v>26.000184791647417</v>
      </c>
      <c r="I57" s="28">
        <v>25.435638249300172</v>
      </c>
      <c r="J57" s="26">
        <v>40.009985022466303</v>
      </c>
      <c r="K57" s="29">
        <v>0.20339442087207726</v>
      </c>
      <c r="L57" s="26">
        <v>0.81394508670520227</v>
      </c>
      <c r="M57" s="30">
        <v>0.51018646408839774</v>
      </c>
      <c r="N57" s="29" t="e">
        <v>#N/A</v>
      </c>
      <c r="O57">
        <v>11.788938984640808</v>
      </c>
      <c r="P57">
        <v>7522000000</v>
      </c>
      <c r="Q57">
        <v>8029000000</v>
      </c>
      <c r="R57" s="29">
        <v>28663590912</v>
      </c>
      <c r="S57" s="29">
        <v>3.6326425202312138</v>
      </c>
      <c r="T57" s="29">
        <v>4.4889082571428576</v>
      </c>
      <c r="U57" s="29">
        <v>14.757699020699828</v>
      </c>
      <c r="V57" s="29">
        <v>5.2587160136092166</v>
      </c>
      <c r="W57">
        <v>1.3144915892919922</v>
      </c>
      <c r="X57" t="s">
        <v>65</v>
      </c>
      <c r="Y57" t="s">
        <v>79</v>
      </c>
      <c r="Z57" t="s">
        <v>161</v>
      </c>
    </row>
    <row r="58" spans="2:26" x14ac:dyDescent="0.25">
      <c r="B58" t="s">
        <v>342</v>
      </c>
      <c r="C58" s="26" t="s">
        <v>343</v>
      </c>
      <c r="D58" s="26">
        <v>-0.6090021530021581</v>
      </c>
      <c r="E58" s="26">
        <v>-0.49393956320169818</v>
      </c>
      <c r="F58" s="26">
        <v>-2.2434804607022736</v>
      </c>
      <c r="G58" s="27">
        <v>-1.5973627167630071</v>
      </c>
      <c r="H58" s="28">
        <v>28.713531251602319</v>
      </c>
      <c r="I58" s="28">
        <v>44.783517337839484</v>
      </c>
      <c r="J58" s="26">
        <v>39.778531267436371</v>
      </c>
      <c r="K58" s="29">
        <v>-0.82628214168194425</v>
      </c>
      <c r="L58" s="26">
        <v>-3.7643216618481636</v>
      </c>
      <c r="M58" s="30">
        <v>0.51470507894305539</v>
      </c>
      <c r="N58" s="29" t="e">
        <v>#N/A</v>
      </c>
      <c r="O58">
        <v>4.7484734513703426</v>
      </c>
      <c r="P58">
        <v>-1790299999.9999995</v>
      </c>
      <c r="Q58">
        <v>-553599999.99999952</v>
      </c>
      <c r="R58" s="29">
        <v>15906469888</v>
      </c>
      <c r="S58" s="29">
        <v>13.267983604240282</v>
      </c>
      <c r="T58" s="29">
        <v>13.821494576687117</v>
      </c>
      <c r="U58" s="29">
        <v>6.5815986034072322</v>
      </c>
      <c r="V58" s="29">
        <v>19.719669151640865</v>
      </c>
      <c r="W58">
        <v>5.6278175247664874</v>
      </c>
      <c r="X58" t="s">
        <v>91</v>
      </c>
      <c r="Y58" t="s">
        <v>92</v>
      </c>
      <c r="Z58" t="s">
        <v>233</v>
      </c>
    </row>
    <row r="59" spans="2:26" x14ac:dyDescent="0.25">
      <c r="B59" t="s">
        <v>344</v>
      </c>
      <c r="C59" s="26" t="s">
        <v>345</v>
      </c>
      <c r="D59" s="26" t="e">
        <v>#N/A</v>
      </c>
      <c r="E59" s="26" t="e">
        <v>#N/A</v>
      </c>
      <c r="F59" s="26" t="e">
        <v>#N/A</v>
      </c>
      <c r="G59" s="27" t="e">
        <v>#N/A</v>
      </c>
      <c r="H59" s="28">
        <v>15.95784478243675</v>
      </c>
      <c r="I59" s="28" t="e">
        <v>#N/A</v>
      </c>
      <c r="J59" s="26" t="e">
        <v>#N/A</v>
      </c>
      <c r="K59" s="29">
        <v>-7.3500562214407039E-2</v>
      </c>
      <c r="L59" s="26" t="e">
        <v>#N/A</v>
      </c>
      <c r="M59" s="30">
        <v>7.3780174166846096E-2</v>
      </c>
      <c r="N59" s="29" t="e">
        <v>#N/A</v>
      </c>
      <c r="O59">
        <v>21.053894547991781</v>
      </c>
      <c r="P59">
        <v>-37773000000</v>
      </c>
      <c r="Q59">
        <v>-37773000000</v>
      </c>
      <c r="R59" s="29">
        <v>42391371776</v>
      </c>
      <c r="S59" s="29" t="e">
        <v>#N/A</v>
      </c>
      <c r="T59" s="29" t="e">
        <v>#N/A</v>
      </c>
      <c r="U59" s="29" t="e">
        <v>#N/A</v>
      </c>
      <c r="V59" s="29">
        <v>5.730050933786079</v>
      </c>
      <c r="W59">
        <v>0.87078746576952704</v>
      </c>
      <c r="X59" t="s">
        <v>66</v>
      </c>
      <c r="Y59" t="s">
        <v>67</v>
      </c>
      <c r="Z59" t="s">
        <v>68</v>
      </c>
    </row>
    <row r="60" spans="2:26" x14ac:dyDescent="0.25">
      <c r="B60" t="s">
        <v>346</v>
      </c>
      <c r="C60" s="26" t="s">
        <v>347</v>
      </c>
      <c r="D60" s="26">
        <v>7.1588735849955371E-2</v>
      </c>
      <c r="E60" s="26">
        <v>0.25012979175633759</v>
      </c>
      <c r="F60" s="26">
        <v>7.0477610037040034E-2</v>
      </c>
      <c r="G60" s="27">
        <v>0.24641219438628087</v>
      </c>
      <c r="H60" s="28">
        <v>13.273374804563023</v>
      </c>
      <c r="I60" s="28" t="e">
        <v>#N/A</v>
      </c>
      <c r="J60" s="26" t="e">
        <v>#N/A</v>
      </c>
      <c r="K60" s="29">
        <v>1.4646454389742214E-2</v>
      </c>
      <c r="L60" s="26" t="e">
        <v>#N/A</v>
      </c>
      <c r="M60" s="30">
        <v>4.2411522512382178E-2</v>
      </c>
      <c r="N60" s="29" t="e">
        <v>#N/A</v>
      </c>
      <c r="O60">
        <v>4.535136195383636</v>
      </c>
      <c r="P60">
        <v>901444000</v>
      </c>
      <c r="Q60">
        <v>915044000</v>
      </c>
      <c r="R60" s="29">
        <v>289527008</v>
      </c>
      <c r="S60" s="29" t="e">
        <v>#N/A</v>
      </c>
      <c r="T60" s="29">
        <v>4.7861304121213237</v>
      </c>
      <c r="U60" s="29">
        <v>-56.462780840121141</v>
      </c>
      <c r="V60" s="29">
        <v>4.030768197238924</v>
      </c>
      <c r="W60">
        <v>0.43910535840625586</v>
      </c>
      <c r="X60" t="s">
        <v>66</v>
      </c>
      <c r="Y60" t="s">
        <v>72</v>
      </c>
      <c r="Z60" t="s">
        <v>103</v>
      </c>
    </row>
    <row r="61" spans="2:26" x14ac:dyDescent="0.25">
      <c r="B61" t="s">
        <v>348</v>
      </c>
      <c r="C61" s="26" t="s">
        <v>349</v>
      </c>
      <c r="D61" s="26">
        <v>0.26263019938578036</v>
      </c>
      <c r="E61" s="26">
        <v>0.3055904767992727</v>
      </c>
      <c r="F61" s="26">
        <v>0.26263019938578036</v>
      </c>
      <c r="G61" s="27">
        <v>0.3055904767992727</v>
      </c>
      <c r="H61" s="28">
        <v>1.2416826575622399</v>
      </c>
      <c r="I61" s="28">
        <v>28.555294972917629</v>
      </c>
      <c r="J61" s="26">
        <v>32.540605574493682</v>
      </c>
      <c r="K61" s="29">
        <v>-8.6922712104833627E-2</v>
      </c>
      <c r="L61" s="26">
        <v>-0.90890407898851788</v>
      </c>
      <c r="M61" s="30">
        <v>0.69016906860587834</v>
      </c>
      <c r="N61" s="29" t="e">
        <v>#N/A</v>
      </c>
      <c r="O61">
        <v>11.097407302836553</v>
      </c>
      <c r="P61">
        <v>140793000</v>
      </c>
      <c r="Q61">
        <v>140793000</v>
      </c>
      <c r="R61" s="29">
        <v>355517280</v>
      </c>
      <c r="S61" s="29">
        <v>14.974457400705893</v>
      </c>
      <c r="T61" s="29">
        <v>19.027719557195571</v>
      </c>
      <c r="U61" s="29">
        <v>1.2030357567992191</v>
      </c>
      <c r="V61" s="29">
        <v>178.51375046142491</v>
      </c>
      <c r="W61">
        <v>2.2287786073347697</v>
      </c>
      <c r="X61" t="s">
        <v>66</v>
      </c>
      <c r="Y61" t="s">
        <v>84</v>
      </c>
      <c r="Z61" t="s">
        <v>151</v>
      </c>
    </row>
    <row r="62" spans="2:26" x14ac:dyDescent="0.25">
      <c r="B62" t="s">
        <v>350</v>
      </c>
      <c r="C62" s="26" t="s">
        <v>351</v>
      </c>
      <c r="D62" s="26">
        <v>0.39734552531408485</v>
      </c>
      <c r="E62" s="26">
        <v>0.35592501484434641</v>
      </c>
      <c r="F62" s="26">
        <v>0.39622040528692559</v>
      </c>
      <c r="G62" s="27">
        <v>0.35029941470855014</v>
      </c>
      <c r="H62" s="28">
        <v>13.226026172030878</v>
      </c>
      <c r="I62" s="28">
        <v>21.100869090580588</v>
      </c>
      <c r="J62" s="26">
        <v>23.527867935599808</v>
      </c>
      <c r="K62" s="29">
        <v>-0.20397947257496951</v>
      </c>
      <c r="L62" s="26">
        <v>-1.1619033377198229</v>
      </c>
      <c r="M62" s="30">
        <v>0.6284968497600314</v>
      </c>
      <c r="N62" s="29" t="e">
        <v>#N/A</v>
      </c>
      <c r="O62">
        <v>11.147907789053896</v>
      </c>
      <c r="P62">
        <v>436193000</v>
      </c>
      <c r="Q62">
        <v>443198000</v>
      </c>
      <c r="R62" s="29">
        <v>829598144</v>
      </c>
      <c r="S62" s="29">
        <v>3.8004016269888741</v>
      </c>
      <c r="T62" s="29">
        <v>5.4276610227408639</v>
      </c>
      <c r="U62" s="29">
        <v>6.0632970750715662</v>
      </c>
      <c r="V62" s="29">
        <v>13.186489938309112</v>
      </c>
      <c r="W62">
        <v>1.4041917505208057</v>
      </c>
      <c r="X62" t="s">
        <v>73</v>
      </c>
      <c r="Y62" t="s">
        <v>203</v>
      </c>
      <c r="Z62" t="s">
        <v>204</v>
      </c>
    </row>
    <row r="63" spans="2:26" x14ac:dyDescent="0.25">
      <c r="B63" t="s">
        <v>352</v>
      </c>
      <c r="C63" s="26" t="s">
        <v>353</v>
      </c>
      <c r="D63" s="26">
        <v>5.4682145558490255E-2</v>
      </c>
      <c r="E63" s="26">
        <v>4.4037876366774163E-2</v>
      </c>
      <c r="F63" s="26">
        <v>5.4682145558490255E-2</v>
      </c>
      <c r="G63" s="27">
        <v>4.4037876366774163E-2</v>
      </c>
      <c r="H63" s="28">
        <v>10.392912942014766</v>
      </c>
      <c r="I63" s="28" t="e">
        <v>#N/A</v>
      </c>
      <c r="J63" s="26" t="e">
        <v>#N/A</v>
      </c>
      <c r="K63" s="29">
        <v>0.43676251568083302</v>
      </c>
      <c r="L63" s="26" t="e">
        <v>#N/A</v>
      </c>
      <c r="M63" s="30">
        <v>0.47836530207964795</v>
      </c>
      <c r="N63" s="29" t="e">
        <v>#N/A</v>
      </c>
      <c r="O63">
        <v>6.0979724289611603</v>
      </c>
      <c r="P63">
        <v>7250009000</v>
      </c>
      <c r="Q63">
        <v>7250009000</v>
      </c>
      <c r="R63" s="29">
        <v>3007615488</v>
      </c>
      <c r="S63" s="29" t="e">
        <v>#N/A</v>
      </c>
      <c r="T63" s="29">
        <v>11.933185910750597</v>
      </c>
      <c r="U63" s="29">
        <v>-4.9331439006075515</v>
      </c>
      <c r="V63" s="29">
        <v>15.559126175536866</v>
      </c>
      <c r="W63">
        <v>0.79322522730365086</v>
      </c>
      <c r="X63" t="s">
        <v>66</v>
      </c>
      <c r="Y63" t="s">
        <v>176</v>
      </c>
      <c r="Z63" t="s">
        <v>236</v>
      </c>
    </row>
    <row r="64" spans="2:26" x14ac:dyDescent="0.25">
      <c r="B64" t="s">
        <v>354</v>
      </c>
      <c r="C64" s="26" t="s">
        <v>355</v>
      </c>
      <c r="D64" s="26">
        <v>0.14338469008569202</v>
      </c>
      <c r="E64" s="26">
        <v>4.1569902461681373E-2</v>
      </c>
      <c r="F64" s="26">
        <v>0.12574163519213272</v>
      </c>
      <c r="G64" s="27">
        <v>3.7400752193898872E-2</v>
      </c>
      <c r="H64" s="28">
        <v>10.954387250412163</v>
      </c>
      <c r="I64" s="28">
        <v>13.563087468634283</v>
      </c>
      <c r="J64" s="26">
        <v>7.9606879606879604</v>
      </c>
      <c r="K64" s="29">
        <v>0.32012114827495392</v>
      </c>
      <c r="L64" s="26">
        <v>3.0578616352201258</v>
      </c>
      <c r="M64" s="30">
        <v>0.38630170918999257</v>
      </c>
      <c r="N64" s="29" t="e">
        <v>#N/A</v>
      </c>
      <c r="O64">
        <v>3.1961709356545556</v>
      </c>
      <c r="P64">
        <v>4306000000</v>
      </c>
      <c r="Q64">
        <v>4786000000</v>
      </c>
      <c r="R64" s="29">
        <v>9791011840</v>
      </c>
      <c r="S64" s="29">
        <v>15.672970867924528</v>
      </c>
      <c r="T64" s="29">
        <v>26.176495462184874</v>
      </c>
      <c r="U64" s="29">
        <v>0</v>
      </c>
      <c r="V64" s="29">
        <v>31.744215226377616</v>
      </c>
      <c r="W64">
        <v>3.4323633571676497</v>
      </c>
      <c r="X64" t="s">
        <v>73</v>
      </c>
      <c r="Y64" t="s">
        <v>169</v>
      </c>
      <c r="Z64" t="s">
        <v>192</v>
      </c>
    </row>
    <row r="65" spans="2:26" x14ac:dyDescent="0.25">
      <c r="B65" t="s">
        <v>356</v>
      </c>
      <c r="C65" s="26" t="s">
        <v>357</v>
      </c>
      <c r="D65" s="26">
        <v>6.5491407925024503E-2</v>
      </c>
      <c r="E65" s="26">
        <v>7.0278635326443115E-2</v>
      </c>
      <c r="F65" s="26">
        <v>6.1351740587646808E-2</v>
      </c>
      <c r="G65" s="27">
        <v>6.6421124448329524E-2</v>
      </c>
      <c r="H65" s="28" t="e">
        <v>#N/A</v>
      </c>
      <c r="I65" s="28">
        <v>10.582149307947223</v>
      </c>
      <c r="J65" s="26">
        <v>13.454876531037407</v>
      </c>
      <c r="K65" s="29">
        <v>0.43920473812131294</v>
      </c>
      <c r="L65" s="26" t="e">
        <v>#N/A</v>
      </c>
      <c r="M65" s="30">
        <v>0.37360323827262792</v>
      </c>
      <c r="N65" s="29" t="e">
        <v>#N/A</v>
      </c>
      <c r="O65" t="e">
        <v>#N/A</v>
      </c>
      <c r="P65">
        <v>1773142000</v>
      </c>
      <c r="Q65">
        <v>1876120000</v>
      </c>
      <c r="R65" s="29">
        <v>625940800</v>
      </c>
      <c r="S65" s="29" t="e">
        <v>#N/A</v>
      </c>
      <c r="T65" s="29" t="e">
        <v>#N/A</v>
      </c>
      <c r="U65" s="29" t="e">
        <v>#N/A</v>
      </c>
      <c r="V65" s="29" t="e">
        <v>#N/A</v>
      </c>
      <c r="W65">
        <v>0.91937195359378232</v>
      </c>
      <c r="X65" t="s">
        <v>77</v>
      </c>
      <c r="Y65" t="s">
        <v>90</v>
      </c>
      <c r="Z65" t="s">
        <v>155</v>
      </c>
    </row>
    <row r="66" spans="2:26" x14ac:dyDescent="0.25">
      <c r="B66" t="s">
        <v>358</v>
      </c>
      <c r="C66" s="26" t="s">
        <v>359</v>
      </c>
      <c r="D66" s="26">
        <v>5.7783051555810608E-2</v>
      </c>
      <c r="E66" s="26">
        <v>5.4598342519990684E-2</v>
      </c>
      <c r="F66" s="26">
        <v>5.7783051555810608E-2</v>
      </c>
      <c r="G66" s="27">
        <v>5.4598342519990684E-2</v>
      </c>
      <c r="H66" s="28">
        <v>11.592250087523801</v>
      </c>
      <c r="I66" s="28">
        <v>63.399166780569864</v>
      </c>
      <c r="J66" s="26">
        <v>75.94394727973939</v>
      </c>
      <c r="K66" s="29">
        <v>0.32688826335786197</v>
      </c>
      <c r="L66" s="26">
        <v>3.8385143098679935</v>
      </c>
      <c r="M66" s="30">
        <v>0.50235858666106925</v>
      </c>
      <c r="N66" s="29" t="e">
        <v>#N/A</v>
      </c>
      <c r="O66">
        <v>11.875263777045905</v>
      </c>
      <c r="P66">
        <v>7419456000</v>
      </c>
      <c r="Q66">
        <v>7419456000</v>
      </c>
      <c r="R66" s="29">
        <v>3699605760</v>
      </c>
      <c r="S66" s="29">
        <v>9.0403497175368326</v>
      </c>
      <c r="T66" s="29">
        <v>9.0469068836837536</v>
      </c>
      <c r="U66" s="29">
        <v>4.6498738287184418</v>
      </c>
      <c r="V66" s="29">
        <v>17.404046672971269</v>
      </c>
      <c r="W66">
        <v>0.88921854743377082</v>
      </c>
      <c r="X66" t="s">
        <v>66</v>
      </c>
      <c r="Y66" t="s">
        <v>78</v>
      </c>
      <c r="Z66" t="s">
        <v>121</v>
      </c>
    </row>
    <row r="67" spans="2:26" x14ac:dyDescent="0.25">
      <c r="B67" t="s">
        <v>360</v>
      </c>
      <c r="C67" s="26" t="s">
        <v>361</v>
      </c>
      <c r="D67" s="26" t="e">
        <v>#N/A</v>
      </c>
      <c r="E67" s="26" t="e">
        <v>#N/A</v>
      </c>
      <c r="F67" s="26" t="e">
        <v>#N/A</v>
      </c>
      <c r="G67" s="27" t="e">
        <v>#N/A</v>
      </c>
      <c r="H67" s="28">
        <v>16.980160772977467</v>
      </c>
      <c r="I67" s="28" t="e">
        <v>#N/A</v>
      </c>
      <c r="J67" s="26" t="e">
        <v>#N/A</v>
      </c>
      <c r="K67" s="29">
        <v>-4.1631239898583694E-2</v>
      </c>
      <c r="L67" s="26" t="e">
        <v>#N/A</v>
      </c>
      <c r="M67" s="30">
        <v>7.0650689738779776E-2</v>
      </c>
      <c r="N67" s="29" t="e">
        <v>#N/A</v>
      </c>
      <c r="O67">
        <v>20.017431179072542</v>
      </c>
      <c r="P67">
        <v>-8570000000</v>
      </c>
      <c r="Q67">
        <v>-8408000000</v>
      </c>
      <c r="R67" s="29">
        <v>23985649664</v>
      </c>
      <c r="S67" s="29" t="e">
        <v>#N/A</v>
      </c>
      <c r="T67" s="29" t="e">
        <v>#N/A</v>
      </c>
      <c r="U67" s="29" t="e">
        <v>#N/A</v>
      </c>
      <c r="V67" s="29">
        <v>6.0026053861676125</v>
      </c>
      <c r="W67">
        <v>0.90385716005330174</v>
      </c>
      <c r="X67" t="s">
        <v>66</v>
      </c>
      <c r="Y67" t="s">
        <v>67</v>
      </c>
      <c r="Z67" t="s">
        <v>68</v>
      </c>
    </row>
    <row r="68" spans="2:26" x14ac:dyDescent="0.25">
      <c r="B68" t="s">
        <v>362</v>
      </c>
      <c r="C68" s="26" t="s">
        <v>363</v>
      </c>
      <c r="D68" s="26">
        <v>0.16166457388634109</v>
      </c>
      <c r="E68" s="26">
        <v>0.14533296439771259</v>
      </c>
      <c r="F68" s="26">
        <v>0.16166457388634109</v>
      </c>
      <c r="G68" s="27">
        <v>0.14533296439771259</v>
      </c>
      <c r="H68" s="28" t="e">
        <v>#N/A</v>
      </c>
      <c r="I68" s="28">
        <v>20.185949062292824</v>
      </c>
      <c r="J68" s="26">
        <v>20.347473514409032</v>
      </c>
      <c r="K68" s="29" t="e">
        <v>#N/A</v>
      </c>
      <c r="L68" s="26" t="e">
        <v>#N/A</v>
      </c>
      <c r="M68" s="30">
        <v>0.40507052189890547</v>
      </c>
      <c r="N68" s="29" t="e">
        <v>#N/A</v>
      </c>
      <c r="O68" t="e">
        <v>#N/A</v>
      </c>
      <c r="P68">
        <v>216840000</v>
      </c>
      <c r="Q68">
        <v>216840000</v>
      </c>
      <c r="R68" s="29">
        <v>278423040</v>
      </c>
      <c r="S68" s="29" t="e">
        <v>#N/A</v>
      </c>
      <c r="T68" s="29" t="e">
        <v>#N/A</v>
      </c>
      <c r="U68" s="29" t="e">
        <v>#N/A</v>
      </c>
      <c r="V68" s="29" t="e">
        <v>#N/A</v>
      </c>
      <c r="W68">
        <v>1.8093633657614099</v>
      </c>
      <c r="X68" t="s">
        <v>73</v>
      </c>
      <c r="Y68" t="s">
        <v>169</v>
      </c>
      <c r="Z68" t="s">
        <v>239</v>
      </c>
    </row>
    <row r="69" spans="2:26" x14ac:dyDescent="0.25">
      <c r="B69" t="s">
        <v>364</v>
      </c>
      <c r="C69" s="26" t="s">
        <v>365</v>
      </c>
      <c r="D69" s="26">
        <v>-0.22755190013810508</v>
      </c>
      <c r="E69" s="26">
        <v>-7.1590377578253248E-2</v>
      </c>
      <c r="F69" s="26">
        <v>-0.22755190013810508</v>
      </c>
      <c r="G69" s="27">
        <v>-7.1590377578253248E-2</v>
      </c>
      <c r="H69" s="28">
        <v>67.776301760151028</v>
      </c>
      <c r="I69" s="28" t="e">
        <v>#N/A</v>
      </c>
      <c r="J69" s="26" t="e">
        <v>#N/A</v>
      </c>
      <c r="K69" s="29">
        <v>-0.2677379214625859</v>
      </c>
      <c r="L69" s="26">
        <v>-0.52935749432248302</v>
      </c>
      <c r="M69" s="30">
        <v>0.90994639737730021</v>
      </c>
      <c r="N69" s="29" t="e">
        <v>#N/A</v>
      </c>
      <c r="O69" t="e">
        <v>#N/A</v>
      </c>
      <c r="P69">
        <v>109037000</v>
      </c>
      <c r="Q69">
        <v>109037000</v>
      </c>
      <c r="R69" s="29">
        <v>248441344</v>
      </c>
      <c r="S69" s="29">
        <v>0.43121792202876602</v>
      </c>
      <c r="T69" s="29">
        <v>0.43254301477131152</v>
      </c>
      <c r="U69" s="29" t="e">
        <v>#N/A</v>
      </c>
      <c r="V69" s="29">
        <v>10.539757294620065</v>
      </c>
      <c r="W69">
        <v>0.48355249927789684</v>
      </c>
      <c r="X69" t="s">
        <v>66</v>
      </c>
      <c r="Y69" t="s">
        <v>110</v>
      </c>
      <c r="Z69" t="s">
        <v>110</v>
      </c>
    </row>
    <row r="70" spans="2:26" x14ac:dyDescent="0.25">
      <c r="B70" t="s">
        <v>366</v>
      </c>
      <c r="C70" s="26" t="s">
        <v>367</v>
      </c>
      <c r="D70" s="26">
        <v>0.11808985752320167</v>
      </c>
      <c r="E70" s="26">
        <v>5.8291261480375924E-2</v>
      </c>
      <c r="F70" s="26">
        <v>0.11335954143842999</v>
      </c>
      <c r="G70" s="27">
        <v>5.7775546980930174E-2</v>
      </c>
      <c r="H70" s="28" t="e">
        <v>#N/A</v>
      </c>
      <c r="I70" s="28">
        <v>7.2172920370440803</v>
      </c>
      <c r="J70" s="26">
        <v>9.2685735245900922</v>
      </c>
      <c r="K70" s="29">
        <v>0.54606005718847106</v>
      </c>
      <c r="L70" s="26" t="e">
        <v>#N/A</v>
      </c>
      <c r="M70" s="30">
        <v>0.19647489413653629</v>
      </c>
      <c r="N70" s="29" t="e">
        <v>#N/A</v>
      </c>
      <c r="O70" t="e">
        <v>#N/A</v>
      </c>
      <c r="P70">
        <v>1421774000</v>
      </c>
      <c r="Q70" s="31">
        <v>1434465000</v>
      </c>
      <c r="R70" s="29">
        <v>473211392</v>
      </c>
      <c r="S70" s="29" t="e">
        <v>#N/A</v>
      </c>
      <c r="T70" s="29" t="e">
        <v>#N/A</v>
      </c>
      <c r="U70" s="29" t="e">
        <v>#N/A</v>
      </c>
      <c r="V70" s="29" t="e">
        <v>#N/A</v>
      </c>
      <c r="W70">
        <v>1.2403584877955807</v>
      </c>
      <c r="X70" t="s">
        <v>73</v>
      </c>
      <c r="Y70" t="s">
        <v>169</v>
      </c>
      <c r="Z70" t="s">
        <v>187</v>
      </c>
    </row>
    <row r="71" spans="2:26" x14ac:dyDescent="0.25">
      <c r="B71" t="s">
        <v>368</v>
      </c>
      <c r="C71" s="26" t="s">
        <v>369</v>
      </c>
      <c r="D71" s="26">
        <v>0.40660754638707469</v>
      </c>
      <c r="E71" s="26">
        <v>0.46819612625131157</v>
      </c>
      <c r="F71" s="26">
        <v>0.36579241478389674</v>
      </c>
      <c r="G71" s="27">
        <v>0.30624984839469604</v>
      </c>
      <c r="H71" s="28">
        <v>12.564841373174135</v>
      </c>
      <c r="I71" s="28">
        <v>13.478228636767231</v>
      </c>
      <c r="J71" s="26">
        <v>11.275382518331513</v>
      </c>
      <c r="K71" s="29">
        <v>0.27702975715456502</v>
      </c>
      <c r="L71" s="26">
        <v>1.9583852171516025</v>
      </c>
      <c r="M71" s="30">
        <v>0.28108471902305576</v>
      </c>
      <c r="N71" s="29" t="e">
        <v>#N/A</v>
      </c>
      <c r="O71">
        <v>21.196669112336824</v>
      </c>
      <c r="P71">
        <v>458419000</v>
      </c>
      <c r="Q71">
        <v>700833000</v>
      </c>
      <c r="R71" s="29">
        <v>2325947648</v>
      </c>
      <c r="S71" s="29">
        <v>13.012954231343212</v>
      </c>
      <c r="T71" s="29">
        <v>16.771125575013627</v>
      </c>
      <c r="U71" s="29">
        <v>1.4471520899854744</v>
      </c>
      <c r="V71" s="29">
        <v>39.439385988872232</v>
      </c>
      <c r="W71">
        <v>4.7104823175979664</v>
      </c>
      <c r="X71" t="s">
        <v>76</v>
      </c>
      <c r="Y71" t="s">
        <v>82</v>
      </c>
      <c r="Z71" t="s">
        <v>370</v>
      </c>
    </row>
    <row r="72" spans="2:26" x14ac:dyDescent="0.25">
      <c r="B72" t="s">
        <v>371</v>
      </c>
      <c r="C72" s="26" t="s">
        <v>372</v>
      </c>
      <c r="D72" s="26">
        <v>-6.5079514420719655E-3</v>
      </c>
      <c r="E72" s="26">
        <v>-6.4985166779265077E-3</v>
      </c>
      <c r="F72" s="26">
        <v>-6.5079514420719655E-3</v>
      </c>
      <c r="G72" s="27">
        <v>-6.4985166779265077E-3</v>
      </c>
      <c r="H72" s="28">
        <v>-36.298381230121912</v>
      </c>
      <c r="I72" s="28">
        <v>2.0610598336753272</v>
      </c>
      <c r="J72" s="26">
        <v>-1.8420736562559776</v>
      </c>
      <c r="K72" s="29">
        <v>0.37902301806187105</v>
      </c>
      <c r="L72" s="26">
        <v>-2.5285827060123278</v>
      </c>
      <c r="M72" s="30">
        <v>0.46154048552490895</v>
      </c>
      <c r="N72" s="29" t="e">
        <v>#N/A</v>
      </c>
      <c r="O72" t="e">
        <v>#N/A</v>
      </c>
      <c r="P72">
        <v>2319957986.5</v>
      </c>
      <c r="Q72">
        <v>2319957986.5</v>
      </c>
      <c r="R72" s="29">
        <v>2152491008</v>
      </c>
      <c r="S72" s="29" t="e">
        <v>#N/A</v>
      </c>
      <c r="T72" s="29" t="e">
        <v>#N/A</v>
      </c>
      <c r="U72" s="29" t="e">
        <v>#N/A</v>
      </c>
      <c r="V72" s="29" t="e">
        <v>#N/A</v>
      </c>
      <c r="W72">
        <v>1.5794916172946989</v>
      </c>
      <c r="X72" t="s">
        <v>66</v>
      </c>
      <c r="Y72" t="s">
        <v>78</v>
      </c>
      <c r="Z72" t="s">
        <v>121</v>
      </c>
    </row>
    <row r="73" spans="2:26" x14ac:dyDescent="0.25">
      <c r="B73" t="s">
        <v>373</v>
      </c>
      <c r="C73" s="26" t="s">
        <v>374</v>
      </c>
      <c r="D73" s="26">
        <v>0.1326062639239998</v>
      </c>
      <c r="E73" s="26">
        <v>0.17651896575933243</v>
      </c>
      <c r="F73" s="26">
        <v>0.12356919316263874</v>
      </c>
      <c r="G73" s="27">
        <v>0.16119528748019404</v>
      </c>
      <c r="H73" s="28" t="e">
        <v>#N/A</v>
      </c>
      <c r="I73" s="28">
        <v>18.537382284006085</v>
      </c>
      <c r="J73" s="26">
        <v>18.99072898130391</v>
      </c>
      <c r="K73" s="29" t="e">
        <v>#N/A</v>
      </c>
      <c r="L73" s="26" t="e">
        <v>#N/A</v>
      </c>
      <c r="M73" s="30">
        <v>0.33860013318147997</v>
      </c>
      <c r="N73" s="29" t="e">
        <v>#N/A</v>
      </c>
      <c r="O73" t="e">
        <v>#N/A</v>
      </c>
      <c r="P73">
        <v>598236000</v>
      </c>
      <c r="Q73">
        <v>655106000</v>
      </c>
      <c r="R73" s="29">
        <v>455993920</v>
      </c>
      <c r="S73" s="29" t="e">
        <v>#N/A</v>
      </c>
      <c r="T73" s="29" t="e">
        <v>#N/A</v>
      </c>
      <c r="U73" s="29" t="e">
        <v>#N/A</v>
      </c>
      <c r="V73" s="29" t="e">
        <v>#N/A</v>
      </c>
      <c r="W73">
        <v>0.86570596997974691</v>
      </c>
      <c r="X73" t="s">
        <v>77</v>
      </c>
      <c r="Y73" t="s">
        <v>85</v>
      </c>
      <c r="Z73" t="s">
        <v>190</v>
      </c>
    </row>
    <row r="74" spans="2:26" x14ac:dyDescent="0.25">
      <c r="B74" t="s">
        <v>375</v>
      </c>
      <c r="C74" s="26" t="s">
        <v>376</v>
      </c>
      <c r="D74" s="26">
        <v>0.1985793119245888</v>
      </c>
      <c r="E74" s="26">
        <v>0.2026685522539183</v>
      </c>
      <c r="F74" s="26">
        <v>0.19740105312563902</v>
      </c>
      <c r="G74" s="27">
        <v>0.20163677158045032</v>
      </c>
      <c r="H74" s="28" t="e">
        <v>#N/A</v>
      </c>
      <c r="I74" s="28">
        <v>11.636200841679461</v>
      </c>
      <c r="J74" s="26">
        <v>12.029378287279316</v>
      </c>
      <c r="K74" s="29">
        <v>-0.35848135364929712</v>
      </c>
      <c r="L74" s="26" t="e">
        <v>#N/A</v>
      </c>
      <c r="M74" s="30">
        <v>0.91762059098783044</v>
      </c>
      <c r="N74" s="29" t="e">
        <v>#N/A</v>
      </c>
      <c r="O74" t="e">
        <v>#N/A</v>
      </c>
      <c r="P74">
        <v>239006000</v>
      </c>
      <c r="Q74">
        <v>240229000</v>
      </c>
      <c r="R74" s="29">
        <v>257527280</v>
      </c>
      <c r="S74" s="29" t="e">
        <v>#N/A</v>
      </c>
      <c r="T74" s="29" t="e">
        <v>#N/A</v>
      </c>
      <c r="U74" s="29" t="e">
        <v>#N/A</v>
      </c>
      <c r="V74" s="29" t="e">
        <v>#N/A</v>
      </c>
      <c r="W74">
        <v>0.79811594249834983</v>
      </c>
      <c r="X74" t="s">
        <v>73</v>
      </c>
      <c r="Y74" t="s">
        <v>169</v>
      </c>
      <c r="Z74" t="s">
        <v>192</v>
      </c>
    </row>
    <row r="75" spans="2:26" x14ac:dyDescent="0.25">
      <c r="B75" t="s">
        <v>377</v>
      </c>
      <c r="C75" s="26" t="s">
        <v>378</v>
      </c>
      <c r="D75" s="26">
        <v>0.11474839372834222</v>
      </c>
      <c r="E75" s="26">
        <v>0.12015106577257421</v>
      </c>
      <c r="F75" s="26">
        <v>0.10833813143580659</v>
      </c>
      <c r="G75" s="27">
        <v>0.11508016916248881</v>
      </c>
      <c r="H75" s="28">
        <v>12.092558980127777</v>
      </c>
      <c r="I75" s="28">
        <v>16.264098110702779</v>
      </c>
      <c r="J75" s="26">
        <v>16.652682658484025</v>
      </c>
      <c r="K75" s="29">
        <v>0.24052958297257834</v>
      </c>
      <c r="L75" s="26">
        <v>2.0391184231909176</v>
      </c>
      <c r="M75" s="30">
        <v>0.51875685800738169</v>
      </c>
      <c r="N75" s="29" t="e">
        <v>#N/A</v>
      </c>
      <c r="O75">
        <v>5.9499525772730149</v>
      </c>
      <c r="P75">
        <v>1465322000</v>
      </c>
      <c r="Q75">
        <v>1529890000</v>
      </c>
      <c r="R75" s="29">
        <v>1673756544</v>
      </c>
      <c r="S75" s="29">
        <v>8.8061086029576785</v>
      </c>
      <c r="T75" s="29">
        <v>13.751267599166189</v>
      </c>
      <c r="U75" s="29">
        <v>4.5959491704905924</v>
      </c>
      <c r="V75" s="29">
        <v>13.417555003330182</v>
      </c>
      <c r="W75">
        <v>1.5225105648659756</v>
      </c>
      <c r="X75" t="s">
        <v>77</v>
      </c>
      <c r="Y75" t="s">
        <v>83</v>
      </c>
      <c r="Z75" t="s">
        <v>194</v>
      </c>
    </row>
    <row r="76" spans="2:26" x14ac:dyDescent="0.25">
      <c r="B76" t="s">
        <v>379</v>
      </c>
      <c r="C76" s="26" t="s">
        <v>380</v>
      </c>
      <c r="D76" s="26">
        <v>5.366242003611945E-2</v>
      </c>
      <c r="E76" s="26">
        <v>5.0109727100022206E-2</v>
      </c>
      <c r="F76" s="26">
        <v>5.366242003611945E-2</v>
      </c>
      <c r="G76" s="27">
        <v>5.0109727100022206E-2</v>
      </c>
      <c r="H76" s="28">
        <v>11.857809867060777</v>
      </c>
      <c r="I76" s="28">
        <v>77.004319927382141</v>
      </c>
      <c r="J76" s="26">
        <v>77.529337139232496</v>
      </c>
      <c r="K76" s="29">
        <v>0.54165331415979368</v>
      </c>
      <c r="L76" s="26">
        <v>6.7984133860784226</v>
      </c>
      <c r="M76" s="30">
        <v>0.42995663130916562</v>
      </c>
      <c r="N76" s="29" t="e">
        <v>#N/A</v>
      </c>
      <c r="O76">
        <v>11.762618466800268</v>
      </c>
      <c r="P76">
        <v>5074863000</v>
      </c>
      <c r="Q76">
        <v>5074863000</v>
      </c>
      <c r="R76" s="29">
        <v>1653869568</v>
      </c>
      <c r="S76" s="29">
        <v>10.713740871998466</v>
      </c>
      <c r="T76" s="29">
        <v>10.492883301646186</v>
      </c>
      <c r="U76" s="29">
        <v>-15.678926864443037</v>
      </c>
      <c r="V76" s="29">
        <v>12.107618401700392</v>
      </c>
      <c r="W76">
        <v>0.74092643588154194</v>
      </c>
      <c r="X76" t="s">
        <v>66</v>
      </c>
      <c r="Y76" t="s">
        <v>176</v>
      </c>
      <c r="Z76" t="s">
        <v>236</v>
      </c>
    </row>
    <row r="77" spans="2:26" x14ac:dyDescent="0.25">
      <c r="B77" t="s">
        <v>381</v>
      </c>
      <c r="C77" s="26" t="s">
        <v>382</v>
      </c>
      <c r="D77" s="26">
        <v>4.5812187878517013E-2</v>
      </c>
      <c r="E77" s="26">
        <v>4.3487598365904601E-2</v>
      </c>
      <c r="F77" s="26">
        <v>4.5812187878517013E-2</v>
      </c>
      <c r="G77" s="27">
        <v>4.3487598365904601E-2</v>
      </c>
      <c r="H77" s="28">
        <v>5.1879675427898411</v>
      </c>
      <c r="I77" s="28">
        <v>61.091622861134965</v>
      </c>
      <c r="J77" s="26">
        <v>70.224712260041429</v>
      </c>
      <c r="K77" s="29">
        <v>0.25903602502097078</v>
      </c>
      <c r="L77" s="26">
        <v>4.9525317509574487</v>
      </c>
      <c r="M77" s="30">
        <v>0.5153361863056064</v>
      </c>
      <c r="N77" s="29" t="e">
        <v>#N/A</v>
      </c>
      <c r="O77">
        <v>1.1405064116518429</v>
      </c>
      <c r="P77">
        <v>14518369000</v>
      </c>
      <c r="Q77">
        <v>14518369000</v>
      </c>
      <c r="R77" s="29">
        <v>7273887744</v>
      </c>
      <c r="S77" s="29">
        <v>12.437018053011611</v>
      </c>
      <c r="T77" s="29">
        <v>12.471654720931667</v>
      </c>
      <c r="U77" s="29">
        <v>3.4836528816246748</v>
      </c>
      <c r="V77" s="29">
        <v>33.655125079603444</v>
      </c>
      <c r="W77">
        <v>0.75477961252481907</v>
      </c>
      <c r="X77" t="s">
        <v>66</v>
      </c>
      <c r="Y77" t="s">
        <v>78</v>
      </c>
      <c r="Z77" t="s">
        <v>121</v>
      </c>
    </row>
    <row r="78" spans="2:26" x14ac:dyDescent="0.25">
      <c r="B78" t="s">
        <v>383</v>
      </c>
      <c r="C78" s="26" t="s">
        <v>384</v>
      </c>
      <c r="D78" s="26">
        <v>0.51151041586757229</v>
      </c>
      <c r="E78" s="26">
        <v>0.52213427875578022</v>
      </c>
      <c r="F78" s="26">
        <v>0.12981687245398929</v>
      </c>
      <c r="G78" s="27">
        <v>0.14874908516834007</v>
      </c>
      <c r="H78" s="28">
        <v>5.0873407350155739</v>
      </c>
      <c r="I78" s="28">
        <v>25.952231765976336</v>
      </c>
      <c r="J78" s="26">
        <v>24.134481642547954</v>
      </c>
      <c r="K78" s="29">
        <v>-0.26551059368882896</v>
      </c>
      <c r="L78" s="26">
        <v>-1.5929705606382614</v>
      </c>
      <c r="M78" s="30">
        <v>1.2878285076008178</v>
      </c>
      <c r="N78" s="29" t="e">
        <v>#N/A</v>
      </c>
      <c r="O78">
        <v>10.392511925789455</v>
      </c>
      <c r="P78">
        <v>644227000</v>
      </c>
      <c r="Q78" s="31">
        <v>2261345000</v>
      </c>
      <c r="R78" s="29">
        <v>45186269184</v>
      </c>
      <c r="S78" s="29">
        <v>20.065189218816073</v>
      </c>
      <c r="T78" s="29">
        <v>29.321608423174339</v>
      </c>
      <c r="U78" s="29">
        <v>4.2041263938093616</v>
      </c>
      <c r="V78" s="29">
        <v>40.847082196718354</v>
      </c>
      <c r="W78">
        <v>3.7362352804803263</v>
      </c>
      <c r="X78" t="s">
        <v>71</v>
      </c>
      <c r="Y78" t="s">
        <v>75</v>
      </c>
      <c r="Z78" t="s">
        <v>213</v>
      </c>
    </row>
    <row r="79" spans="2:26" x14ac:dyDescent="0.25">
      <c r="B79" t="s">
        <v>385</v>
      </c>
      <c r="C79" s="26" t="s">
        <v>386</v>
      </c>
      <c r="D79" s="26">
        <v>0.26507465894529125</v>
      </c>
      <c r="E79" s="26">
        <v>0.23950152327586108</v>
      </c>
      <c r="F79" s="26">
        <v>0.26507465894529125</v>
      </c>
      <c r="G79" s="27">
        <v>0.23950152327586108</v>
      </c>
      <c r="H79" s="28">
        <v>17.296695213893184</v>
      </c>
      <c r="I79" s="28">
        <v>72.992978482247764</v>
      </c>
      <c r="J79" s="26">
        <v>56.686656533853274</v>
      </c>
      <c r="K79" s="29">
        <v>0.19305157320074032</v>
      </c>
      <c r="L79" s="26">
        <v>1.0586093176645455</v>
      </c>
      <c r="M79" s="30">
        <v>0.46398837834747214</v>
      </c>
      <c r="N79" s="29" t="e">
        <v>#N/A</v>
      </c>
      <c r="O79">
        <v>3.0975796368067923</v>
      </c>
      <c r="P79">
        <v>3496412000</v>
      </c>
      <c r="Q79">
        <v>3496412000</v>
      </c>
      <c r="R79" s="29">
        <v>1908763904</v>
      </c>
      <c r="S79" s="29">
        <v>4.4145839602396766</v>
      </c>
      <c r="T79" s="29">
        <v>5.5178647239894243</v>
      </c>
      <c r="U79" s="29" t="e">
        <v>#N/A</v>
      </c>
      <c r="V79" s="29">
        <v>6.0440360716309121</v>
      </c>
      <c r="W79">
        <v>1.8159347061574196</v>
      </c>
      <c r="X79" t="s">
        <v>69</v>
      </c>
      <c r="Y79" t="s">
        <v>159</v>
      </c>
      <c r="Z79" t="s">
        <v>186</v>
      </c>
    </row>
    <row r="80" spans="2:26" x14ac:dyDescent="0.25">
      <c r="B80" t="s">
        <v>387</v>
      </c>
      <c r="C80" s="26" t="s">
        <v>388</v>
      </c>
      <c r="D80" s="26">
        <v>0.14225789636860323</v>
      </c>
      <c r="E80" s="26">
        <v>0.2003102558149904</v>
      </c>
      <c r="F80" s="26">
        <v>0.14188081532506266</v>
      </c>
      <c r="G80" s="27">
        <v>0.19990517822044993</v>
      </c>
      <c r="H80" s="28" t="e">
        <v>#N/A</v>
      </c>
      <c r="I80" s="28">
        <v>6.9097466253169371</v>
      </c>
      <c r="J80" s="26">
        <v>8.3377110968845525</v>
      </c>
      <c r="K80" s="29" t="e">
        <v>#N/A</v>
      </c>
      <c r="L80" s="26" t="e">
        <v>#N/A</v>
      </c>
      <c r="M80" s="30">
        <v>0.44863057960672253</v>
      </c>
      <c r="N80" s="29" t="e">
        <v>#N/A</v>
      </c>
      <c r="O80" t="e">
        <v>#N/A</v>
      </c>
      <c r="P80">
        <v>1300862000</v>
      </c>
      <c r="Q80">
        <v>1303498000</v>
      </c>
      <c r="R80" s="29">
        <v>250117824</v>
      </c>
      <c r="S80" s="29" t="e">
        <v>#N/A</v>
      </c>
      <c r="T80" s="29" t="e">
        <v>#N/A</v>
      </c>
      <c r="U80" s="29" t="e">
        <v>#N/A</v>
      </c>
      <c r="V80" s="29" t="e">
        <v>#N/A</v>
      </c>
      <c r="W80">
        <v>1.0359868215376009</v>
      </c>
      <c r="X80" t="s">
        <v>73</v>
      </c>
      <c r="Y80" t="s">
        <v>169</v>
      </c>
      <c r="Z80" t="s">
        <v>218</v>
      </c>
    </row>
    <row r="81" spans="2:26" x14ac:dyDescent="0.25">
      <c r="B81" t="s">
        <v>389</v>
      </c>
      <c r="C81" s="26" t="s">
        <v>390</v>
      </c>
      <c r="D81" s="26">
        <v>2.8604671416392512E-2</v>
      </c>
      <c r="E81" s="26">
        <v>7.7139247608034506E-2</v>
      </c>
      <c r="F81" s="26">
        <v>2.8427796061476614E-2</v>
      </c>
      <c r="G81" s="27">
        <v>7.6759102510808946E-2</v>
      </c>
      <c r="H81" s="28" t="e">
        <v>#N/A</v>
      </c>
      <c r="I81" s="28">
        <v>18.335605908401661</v>
      </c>
      <c r="J81" s="26">
        <v>78.023991409100873</v>
      </c>
      <c r="K81" s="29">
        <v>0.54403735815106236</v>
      </c>
      <c r="L81" s="26" t="e">
        <v>#N/A</v>
      </c>
      <c r="M81" s="30">
        <v>0.43069541357409369</v>
      </c>
      <c r="N81" s="29" t="e">
        <v>#N/A</v>
      </c>
      <c r="O81" t="e">
        <v>#N/A</v>
      </c>
      <c r="P81">
        <v>1982052000</v>
      </c>
      <c r="Q81">
        <v>1991868000</v>
      </c>
      <c r="R81" s="29">
        <v>934328448</v>
      </c>
      <c r="S81" s="29" t="e">
        <v>#N/A</v>
      </c>
      <c r="T81" s="29" t="e">
        <v>#N/A</v>
      </c>
      <c r="U81" s="29" t="e">
        <v>#N/A</v>
      </c>
      <c r="V81" s="29" t="e">
        <v>#N/A</v>
      </c>
      <c r="W81">
        <v>0.66048447912011932</v>
      </c>
      <c r="X81" t="s">
        <v>66</v>
      </c>
      <c r="Y81" t="s">
        <v>78</v>
      </c>
      <c r="Z81" t="s">
        <v>121</v>
      </c>
    </row>
    <row r="82" spans="2:26" x14ac:dyDescent="0.25">
      <c r="B82" t="s">
        <v>391</v>
      </c>
      <c r="C82" s="26" t="s">
        <v>392</v>
      </c>
      <c r="D82" s="26">
        <v>20.897253235082644</v>
      </c>
      <c r="E82" s="26">
        <v>2.1662919935231329E-2</v>
      </c>
      <c r="F82" s="26">
        <v>0.29778431453912885</v>
      </c>
      <c r="G82" s="27">
        <v>-0.31339549692972479</v>
      </c>
      <c r="H82" s="28">
        <v>-4.939672430184654</v>
      </c>
      <c r="I82" s="28">
        <v>9.821258272021586</v>
      </c>
      <c r="J82" s="26">
        <v>5.8515605297417403</v>
      </c>
      <c r="K82" s="29">
        <v>-0.70021365553570447</v>
      </c>
      <c r="L82" s="26">
        <v>36.494864164346744</v>
      </c>
      <c r="M82" s="30">
        <v>0.56367421898785142</v>
      </c>
      <c r="N82" s="29" t="e">
        <v>#N/A</v>
      </c>
      <c r="O82">
        <v>4.7827909730524043</v>
      </c>
      <c r="P82">
        <v>-63611000</v>
      </c>
      <c r="Q82">
        <v>4397000</v>
      </c>
      <c r="R82" s="29">
        <v>735736128</v>
      </c>
      <c r="S82" s="29" t="e">
        <v>#N/A</v>
      </c>
      <c r="T82" s="29" t="e">
        <v>#N/A</v>
      </c>
      <c r="U82" s="29">
        <v>0.9549619398328637</v>
      </c>
      <c r="V82" s="29" t="e">
        <v>#N/A</v>
      </c>
      <c r="W82">
        <v>2.4015724222799619</v>
      </c>
      <c r="X82" t="s">
        <v>91</v>
      </c>
      <c r="Y82" t="s">
        <v>94</v>
      </c>
      <c r="Z82" t="s">
        <v>126</v>
      </c>
    </row>
    <row r="83" spans="2:26" x14ac:dyDescent="0.25">
      <c r="B83" t="s">
        <v>393</v>
      </c>
      <c r="C83" s="26" t="s">
        <v>394</v>
      </c>
      <c r="D83" s="26">
        <v>0.33735325500973157</v>
      </c>
      <c r="E83" s="26">
        <v>0.55696004993757797</v>
      </c>
      <c r="F83" s="26">
        <v>0.33735325500973157</v>
      </c>
      <c r="G83" s="27">
        <v>0.55696004993757797</v>
      </c>
      <c r="H83" s="28" t="e">
        <v>#N/A</v>
      </c>
      <c r="I83" s="28">
        <v>17.85957511512661</v>
      </c>
      <c r="J83" s="26">
        <v>27.819471220049568</v>
      </c>
      <c r="K83" s="29" t="e">
        <v>#N/A</v>
      </c>
      <c r="L83" s="26" t="e">
        <v>#N/A</v>
      </c>
      <c r="M83" s="30">
        <v>0.7991238303849908</v>
      </c>
      <c r="N83" s="29" t="e">
        <v>#N/A</v>
      </c>
      <c r="O83" t="e">
        <v>#N/A</v>
      </c>
      <c r="P83">
        <v>12816000</v>
      </c>
      <c r="Q83">
        <v>12816000</v>
      </c>
      <c r="R83" s="29">
        <v>278474944</v>
      </c>
      <c r="S83" s="29" t="e">
        <v>#N/A</v>
      </c>
      <c r="T83" s="29" t="e">
        <v>#N/A</v>
      </c>
      <c r="U83" s="29" t="e">
        <v>#N/A</v>
      </c>
      <c r="V83" s="29" t="e">
        <v>#N/A</v>
      </c>
      <c r="W83">
        <v>2.2693122585348879</v>
      </c>
      <c r="X83" t="s">
        <v>77</v>
      </c>
      <c r="Y83" t="s">
        <v>111</v>
      </c>
      <c r="Z83" t="s">
        <v>193</v>
      </c>
    </row>
    <row r="84" spans="2:26" x14ac:dyDescent="0.25">
      <c r="B84" t="s">
        <v>395</v>
      </c>
      <c r="C84" s="26" t="s">
        <v>396</v>
      </c>
      <c r="D84" s="26">
        <v>2.7202088469967835E-2</v>
      </c>
      <c r="E84" s="26">
        <v>1.4407256890094379E-2</v>
      </c>
      <c r="F84" s="26">
        <v>2.5636586004702609E-2</v>
      </c>
      <c r="G84" s="27">
        <v>1.3850917667726429E-2</v>
      </c>
      <c r="H84" s="28">
        <v>0.96418470505541276</v>
      </c>
      <c r="I84" s="28">
        <v>6.2819167096510711</v>
      </c>
      <c r="J84" s="26">
        <v>6.217321743720003</v>
      </c>
      <c r="K84" s="29">
        <v>0.11084559500711243</v>
      </c>
      <c r="L84" s="26">
        <v>1.9220916658405096</v>
      </c>
      <c r="M84" s="30">
        <v>0.62867940558236957</v>
      </c>
      <c r="N84" s="29" t="e">
        <v>#N/A</v>
      </c>
      <c r="O84">
        <v>5.5417867669354912</v>
      </c>
      <c r="P84">
        <v>281301760.80000001</v>
      </c>
      <c r="Q84">
        <v>292600593.60000002</v>
      </c>
      <c r="R84" s="29">
        <v>232632480</v>
      </c>
      <c r="S84" s="29">
        <v>10.386945747692396</v>
      </c>
      <c r="T84" s="29">
        <v>49.355688102654142</v>
      </c>
      <c r="U84" s="29">
        <v>-10.425371258974041</v>
      </c>
      <c r="V84" s="29">
        <v>194.23853827439297</v>
      </c>
      <c r="W84">
        <v>0.76317724531671793</v>
      </c>
      <c r="X84" t="s">
        <v>77</v>
      </c>
      <c r="Y84" t="s">
        <v>199</v>
      </c>
      <c r="Z84" t="s">
        <v>205</v>
      </c>
    </row>
    <row r="85" spans="2:26" x14ac:dyDescent="0.25">
      <c r="B85" t="s">
        <v>397</v>
      </c>
      <c r="C85" s="26" t="s">
        <v>398</v>
      </c>
      <c r="D85" s="26">
        <v>0.18419191647362895</v>
      </c>
      <c r="E85" s="26">
        <v>0.31724515739349074</v>
      </c>
      <c r="F85" s="26">
        <v>0.17897317003971863</v>
      </c>
      <c r="G85" s="27">
        <v>0.30837219939627225</v>
      </c>
      <c r="H85" s="28">
        <v>15.499683588586983</v>
      </c>
      <c r="I85" s="28">
        <v>11.338007497266478</v>
      </c>
      <c r="J85" s="26">
        <v>17.787855855360018</v>
      </c>
      <c r="K85" s="29">
        <v>4.8720101787372593E-2</v>
      </c>
      <c r="L85" s="26">
        <v>0.30777433038979424</v>
      </c>
      <c r="M85" s="30">
        <v>0.61233930539964698</v>
      </c>
      <c r="N85" s="29" t="e">
        <v>#N/A</v>
      </c>
      <c r="O85">
        <v>7.4764601032441593</v>
      </c>
      <c r="P85">
        <v>854292000</v>
      </c>
      <c r="Q85">
        <v>878873000</v>
      </c>
      <c r="R85" s="29">
        <v>818842240</v>
      </c>
      <c r="S85" s="29">
        <v>3.9005544734350099</v>
      </c>
      <c r="T85" s="29">
        <v>5.0066369875535486</v>
      </c>
      <c r="U85" s="29">
        <v>-10.300763184859639</v>
      </c>
      <c r="V85" s="29">
        <v>5.523920266985451</v>
      </c>
      <c r="W85">
        <v>0.89633608212726656</v>
      </c>
      <c r="X85" t="s">
        <v>65</v>
      </c>
      <c r="Y85" t="s">
        <v>79</v>
      </c>
      <c r="Z85" t="s">
        <v>224</v>
      </c>
    </row>
    <row r="86" spans="2:26" x14ac:dyDescent="0.25">
      <c r="B86" t="s">
        <v>399</v>
      </c>
      <c r="C86" s="26" t="s">
        <v>400</v>
      </c>
      <c r="D86" s="26" t="e">
        <v>#N/A</v>
      </c>
      <c r="E86" s="26" t="e">
        <v>#N/A</v>
      </c>
      <c r="F86" s="26" t="e">
        <v>#N/A</v>
      </c>
      <c r="G86" s="27" t="e">
        <v>#N/A</v>
      </c>
      <c r="H86" s="28">
        <v>15.262417662474325</v>
      </c>
      <c r="I86" s="28" t="e">
        <v>#N/A</v>
      </c>
      <c r="J86" s="26" t="e">
        <v>#N/A</v>
      </c>
      <c r="K86" s="29">
        <v>-8.090621483074352E-2</v>
      </c>
      <c r="L86" s="26" t="e">
        <v>#N/A</v>
      </c>
      <c r="M86" s="30">
        <v>7.5381047292231135E-2</v>
      </c>
      <c r="N86" s="29" t="e">
        <v>#N/A</v>
      </c>
      <c r="O86">
        <v>19.526765416309608</v>
      </c>
      <c r="P86">
        <v>-86097000000</v>
      </c>
      <c r="Q86">
        <v>-86097000000</v>
      </c>
      <c r="R86" s="29">
        <v>45842235392</v>
      </c>
      <c r="S86" s="29" t="e">
        <v>#N/A</v>
      </c>
      <c r="T86" s="29" t="e">
        <v>#N/A</v>
      </c>
      <c r="U86" s="29" t="e">
        <v>#N/A</v>
      </c>
      <c r="V86" s="29">
        <v>6.2971474972392034</v>
      </c>
      <c r="W86">
        <v>0.90835462160282787</v>
      </c>
      <c r="X86" t="s">
        <v>66</v>
      </c>
      <c r="Y86" t="s">
        <v>67</v>
      </c>
      <c r="Z86" t="s">
        <v>68</v>
      </c>
    </row>
    <row r="87" spans="2:26" x14ac:dyDescent="0.25">
      <c r="B87" t="s">
        <v>401</v>
      </c>
      <c r="C87" s="26" t="s">
        <v>402</v>
      </c>
      <c r="D87" s="26" t="e">
        <v>#N/A</v>
      </c>
      <c r="E87" s="26">
        <v>0.19197187889783421</v>
      </c>
      <c r="F87" s="26">
        <v>0.18109701355366514</v>
      </c>
      <c r="G87" s="27">
        <v>0.18464390882320864</v>
      </c>
      <c r="H87" s="28">
        <v>60.528559249786873</v>
      </c>
      <c r="I87" s="28">
        <v>39.986361636635898</v>
      </c>
      <c r="J87" s="26">
        <v>39.628310705541956</v>
      </c>
      <c r="K87" s="29">
        <v>0.53469561515538522</v>
      </c>
      <c r="L87" s="26">
        <v>2.1073825503355703</v>
      </c>
      <c r="M87" s="30">
        <v>0.14088895042924399</v>
      </c>
      <c r="N87" s="29">
        <v>2.8297068137705588E-2</v>
      </c>
      <c r="O87">
        <v>-0.92857782112347709</v>
      </c>
      <c r="P87">
        <v>8819000000</v>
      </c>
      <c r="Q87">
        <v>9169000000</v>
      </c>
      <c r="R87" s="29">
        <v>14741587968</v>
      </c>
      <c r="S87" s="29">
        <v>6.2300301923937358</v>
      </c>
      <c r="T87" s="29">
        <v>13.19821562085308</v>
      </c>
      <c r="U87" s="29">
        <v>10.806162833054159</v>
      </c>
      <c r="V87" s="29">
        <v>13.451122669252946</v>
      </c>
      <c r="W87">
        <v>7.232334658767205</v>
      </c>
      <c r="X87" t="s">
        <v>71</v>
      </c>
      <c r="Y87" t="s">
        <v>75</v>
      </c>
      <c r="Z87" t="s">
        <v>152</v>
      </c>
    </row>
    <row r="88" spans="2:26" x14ac:dyDescent="0.25">
      <c r="B88" t="s">
        <v>403</v>
      </c>
      <c r="C88" s="26" t="s">
        <v>404</v>
      </c>
      <c r="D88" s="26">
        <v>0.10210690182307951</v>
      </c>
      <c r="E88" s="26">
        <v>0.14716337267169061</v>
      </c>
      <c r="F88" s="26">
        <v>9.1981673699823574E-2</v>
      </c>
      <c r="G88" s="27">
        <v>0.11237785016286644</v>
      </c>
      <c r="H88" s="28">
        <v>7.9861966970667986</v>
      </c>
      <c r="I88" s="28">
        <v>13.147216018774909</v>
      </c>
      <c r="J88" s="26">
        <v>12.180302388017521</v>
      </c>
      <c r="K88" s="29">
        <v>0.34714206656652702</v>
      </c>
      <c r="L88" s="26">
        <v>4.0582255083179302</v>
      </c>
      <c r="M88" s="30">
        <v>0.28524214218265209</v>
      </c>
      <c r="N88" s="29" t="e">
        <v>#N/A</v>
      </c>
      <c r="O88">
        <v>9.5459582947326673</v>
      </c>
      <c r="P88">
        <v>7033000000</v>
      </c>
      <c r="Q88">
        <v>9210000000</v>
      </c>
      <c r="R88" s="29">
        <v>3422515712</v>
      </c>
      <c r="S88" s="29">
        <v>7.2204396598890943</v>
      </c>
      <c r="T88" s="29">
        <v>16.009253508196721</v>
      </c>
      <c r="U88" s="29">
        <v>20.686537610846184</v>
      </c>
      <c r="V88" s="29">
        <v>4.4317652470885207</v>
      </c>
      <c r="W88">
        <v>0.80659087423167841</v>
      </c>
      <c r="X88" t="s">
        <v>69</v>
      </c>
      <c r="Y88" t="s">
        <v>159</v>
      </c>
      <c r="Z88" t="s">
        <v>160</v>
      </c>
    </row>
    <row r="89" spans="2:26" x14ac:dyDescent="0.25">
      <c r="B89" t="s">
        <v>405</v>
      </c>
      <c r="C89" s="26" t="s">
        <v>406</v>
      </c>
      <c r="D89" s="26">
        <v>0.14502015459196235</v>
      </c>
      <c r="E89" s="26">
        <v>0.13164127338674975</v>
      </c>
      <c r="F89" s="26">
        <v>0.14502015459196235</v>
      </c>
      <c r="G89" s="27">
        <v>0.13164127338674975</v>
      </c>
      <c r="H89" s="28">
        <v>13.789776453688699</v>
      </c>
      <c r="I89" s="28">
        <v>8.0353942420946858</v>
      </c>
      <c r="J89" s="26">
        <v>8.893936141992782</v>
      </c>
      <c r="K89" s="29">
        <v>2.9484715804918463E-2</v>
      </c>
      <c r="L89" s="26">
        <v>0.3857977195994704</v>
      </c>
      <c r="M89" s="30">
        <v>0.37338600652070192</v>
      </c>
      <c r="N89" s="29" t="e">
        <v>#N/A</v>
      </c>
      <c r="O89">
        <v>45.504731853004465</v>
      </c>
      <c r="P89">
        <v>3903920000</v>
      </c>
      <c r="Q89">
        <v>3903920000</v>
      </c>
      <c r="R89" s="29">
        <v>3986814720</v>
      </c>
      <c r="S89" s="29">
        <v>8.6895724702579766</v>
      </c>
      <c r="T89" s="29">
        <v>10.573741206882364</v>
      </c>
      <c r="U89" s="29">
        <v>17.844220260127866</v>
      </c>
      <c r="V89" s="29">
        <v>17.137257837037602</v>
      </c>
      <c r="W89">
        <v>2.0880319807982115</v>
      </c>
      <c r="X89" t="s">
        <v>69</v>
      </c>
      <c r="Y89" t="s">
        <v>159</v>
      </c>
      <c r="Z89" t="s">
        <v>186</v>
      </c>
    </row>
    <row r="90" spans="2:26" x14ac:dyDescent="0.25">
      <c r="B90" t="s">
        <v>407</v>
      </c>
      <c r="C90" s="26" t="s">
        <v>408</v>
      </c>
      <c r="D90" s="26">
        <v>5.6272901195408398E-2</v>
      </c>
      <c r="E90" s="26">
        <v>6.3240176567608011E-2</v>
      </c>
      <c r="F90" s="26">
        <v>5.6272901195408398E-2</v>
      </c>
      <c r="G90" s="27">
        <v>6.3240176567608011E-2</v>
      </c>
      <c r="H90" s="28">
        <v>15.380334577505957</v>
      </c>
      <c r="I90" s="28">
        <v>38.60691240080736</v>
      </c>
      <c r="J90" s="26">
        <v>44.751785913606426</v>
      </c>
      <c r="K90" s="29">
        <v>5.5787722643729457E-2</v>
      </c>
      <c r="L90" s="26">
        <v>0.38321330628079642</v>
      </c>
      <c r="M90" s="30">
        <v>0.77022355661946684</v>
      </c>
      <c r="N90" s="29" t="e">
        <v>#N/A</v>
      </c>
      <c r="O90">
        <v>4.1452244960494582</v>
      </c>
      <c r="P90">
        <v>981607000</v>
      </c>
      <c r="Q90">
        <v>981607000</v>
      </c>
      <c r="R90" s="29">
        <v>908656384</v>
      </c>
      <c r="S90" s="29">
        <v>5.4480746471650576</v>
      </c>
      <c r="T90" s="29">
        <v>5.5132549877878869</v>
      </c>
      <c r="U90" s="29">
        <v>4.3799835340176294</v>
      </c>
      <c r="V90" s="29">
        <v>22.017593421277109</v>
      </c>
      <c r="W90">
        <v>0.95730168512987468</v>
      </c>
      <c r="X90" t="s">
        <v>66</v>
      </c>
      <c r="Y90" t="s">
        <v>78</v>
      </c>
      <c r="Z90" t="s">
        <v>121</v>
      </c>
    </row>
    <row r="91" spans="2:26" x14ac:dyDescent="0.25">
      <c r="B91" t="s">
        <v>409</v>
      </c>
      <c r="C91" s="26" t="s">
        <v>410</v>
      </c>
      <c r="D91" s="26">
        <v>0.14645223291085183</v>
      </c>
      <c r="E91" s="26">
        <v>0.12361595042556066</v>
      </c>
      <c r="F91" s="26">
        <v>0.13777316113251911</v>
      </c>
      <c r="G91" s="27">
        <v>0.11678021721308919</v>
      </c>
      <c r="H91" s="28">
        <v>11.568010728349428</v>
      </c>
      <c r="I91" s="28">
        <v>19.230459918981687</v>
      </c>
      <c r="J91" s="26">
        <v>20.929260590922645</v>
      </c>
      <c r="K91" s="29">
        <v>0.35988333586191379</v>
      </c>
      <c r="L91" s="26">
        <v>2.7197254979425933</v>
      </c>
      <c r="M91" s="30">
        <v>0.29679158755213114</v>
      </c>
      <c r="N91" s="29" t="e">
        <v>#N/A</v>
      </c>
      <c r="O91" s="31">
        <v>24.78438285151352</v>
      </c>
      <c r="P91" s="31">
        <v>3938804000</v>
      </c>
      <c r="Q91" s="31">
        <v>4169362000</v>
      </c>
      <c r="R91" s="29">
        <v>3694237952</v>
      </c>
      <c r="S91" s="29">
        <v>7.2993330302355695</v>
      </c>
      <c r="T91" s="29">
        <v>17.87239633027523</v>
      </c>
      <c r="U91" s="29">
        <v>7.5536552768325844</v>
      </c>
      <c r="V91" s="29">
        <v>21.124988060803879</v>
      </c>
      <c r="W91">
        <v>2.4500135731214785</v>
      </c>
      <c r="X91" t="s">
        <v>76</v>
      </c>
      <c r="Y91" t="s">
        <v>196</v>
      </c>
      <c r="Z91" t="s">
        <v>197</v>
      </c>
    </row>
    <row r="92" spans="2:26" x14ac:dyDescent="0.25">
      <c r="B92" t="s">
        <v>411</v>
      </c>
      <c r="C92" s="26" t="s">
        <v>412</v>
      </c>
      <c r="D92" s="26" t="e">
        <v>#N/A</v>
      </c>
      <c r="E92" s="26">
        <v>4.8880691131621717E-2</v>
      </c>
      <c r="F92" s="26">
        <v>5.5686975694792418E-2</v>
      </c>
      <c r="G92" s="27">
        <v>4.8880691131621717E-2</v>
      </c>
      <c r="H92" s="28">
        <v>11.883172681581755</v>
      </c>
      <c r="I92" s="28">
        <v>61.560525206486929</v>
      </c>
      <c r="J92" s="26">
        <v>68.877340807669313</v>
      </c>
      <c r="K92" s="29">
        <v>0.36191935364538236</v>
      </c>
      <c r="L92" s="26">
        <v>4.3967089680456493</v>
      </c>
      <c r="M92" s="30">
        <v>0.445498767111493</v>
      </c>
      <c r="N92" s="29" t="e">
        <v>#N/A</v>
      </c>
      <c r="O92" s="31">
        <v>21.391914222918572</v>
      </c>
      <c r="P92" s="31">
        <v>14391470000</v>
      </c>
      <c r="Q92" s="31">
        <v>14391470000</v>
      </c>
      <c r="R92" s="29">
        <v>7095973376</v>
      </c>
      <c r="S92" s="29">
        <v>9.0955006199019071</v>
      </c>
      <c r="T92" s="29">
        <v>9.162163430603842</v>
      </c>
      <c r="U92" s="29">
        <v>-0.40011424078939539</v>
      </c>
      <c r="V92" s="29">
        <v>25.588342784567892</v>
      </c>
      <c r="W92">
        <v>0.86297120427920482</v>
      </c>
      <c r="X92" t="s">
        <v>66</v>
      </c>
      <c r="Y92" t="s">
        <v>78</v>
      </c>
      <c r="Z92" t="s">
        <v>121</v>
      </c>
    </row>
    <row r="93" spans="2:26" x14ac:dyDescent="0.25">
      <c r="B93" t="s">
        <v>413</v>
      </c>
      <c r="C93" s="26" t="s">
        <v>414</v>
      </c>
      <c r="D93" s="26">
        <v>6.4486483667537634E-2</v>
      </c>
      <c r="E93" s="26">
        <v>9.2547138270356599E-2</v>
      </c>
      <c r="F93" s="26">
        <v>6.262079782320093E-2</v>
      </c>
      <c r="G93" s="27">
        <v>9.0117132071182507E-2</v>
      </c>
      <c r="H93" s="28">
        <v>11.136154082573507</v>
      </c>
      <c r="I93" s="28">
        <v>79.355262721092259</v>
      </c>
      <c r="J93" s="26">
        <v>114.49685998400898</v>
      </c>
      <c r="K93" s="29">
        <v>0.43440694310511091</v>
      </c>
      <c r="L93" s="26">
        <v>5.7051671732522795</v>
      </c>
      <c r="M93" s="30">
        <v>0.39857234580957057</v>
      </c>
      <c r="N93" s="29" t="e">
        <v>#N/A</v>
      </c>
      <c r="O93" s="31">
        <v>4.0612703786027913</v>
      </c>
      <c r="P93" s="31">
        <v>20471000000</v>
      </c>
      <c r="Q93" s="31">
        <v>21023000000</v>
      </c>
      <c r="R93" s="29">
        <v>11590170624</v>
      </c>
      <c r="S93" s="29">
        <v>11.827340741641338</v>
      </c>
      <c r="T93" s="29">
        <v>11.954516448540707</v>
      </c>
      <c r="U93" s="29">
        <v>-1.3373401050631504</v>
      </c>
      <c r="V93" s="29">
        <v>48.988486298004844</v>
      </c>
      <c r="W93">
        <v>1.1504444740505071</v>
      </c>
      <c r="X93" t="s">
        <v>66</v>
      </c>
      <c r="Y93" t="s">
        <v>78</v>
      </c>
      <c r="Z93" t="s">
        <v>121</v>
      </c>
    </row>
    <row r="94" spans="2:26" x14ac:dyDescent="0.25">
      <c r="B94" t="s">
        <v>415</v>
      </c>
      <c r="C94" s="26" t="s">
        <v>416</v>
      </c>
      <c r="D94" s="26">
        <v>0.19163187805000795</v>
      </c>
      <c r="E94" s="26">
        <v>0.26183625372279029</v>
      </c>
      <c r="F94" s="26">
        <v>0.17844455394491462</v>
      </c>
      <c r="G94" s="27">
        <v>0.23506065584757871</v>
      </c>
      <c r="H94" s="28" t="e">
        <v>#N/A</v>
      </c>
      <c r="I94" s="28">
        <v>23.911614257059213</v>
      </c>
      <c r="J94" s="26">
        <v>27.08384975430512</v>
      </c>
      <c r="K94" s="29" t="e">
        <v>#N/A</v>
      </c>
      <c r="L94" s="26" t="e">
        <v>#N/A</v>
      </c>
      <c r="M94" s="30">
        <v>0.62453406113261967</v>
      </c>
      <c r="N94" s="29" t="e">
        <v>#N/A</v>
      </c>
      <c r="O94" s="31" t="e">
        <v>#N/A</v>
      </c>
      <c r="P94" s="31">
        <v>495596000</v>
      </c>
      <c r="Q94" s="31">
        <v>552049000</v>
      </c>
      <c r="R94" s="29">
        <v>1404027776</v>
      </c>
      <c r="S94" s="29" t="e">
        <v>#N/A</v>
      </c>
      <c r="T94" s="29" t="e">
        <v>#N/A</v>
      </c>
      <c r="U94" s="29" t="e">
        <v>#N/A</v>
      </c>
      <c r="V94" s="29" t="e">
        <v>#N/A</v>
      </c>
      <c r="W94">
        <v>2.2079074240060268</v>
      </c>
      <c r="X94" t="s">
        <v>66</v>
      </c>
      <c r="Y94" t="s">
        <v>84</v>
      </c>
      <c r="Z94" t="s">
        <v>151</v>
      </c>
    </row>
    <row r="95" spans="2:26" x14ac:dyDescent="0.25">
      <c r="B95" t="s">
        <v>417</v>
      </c>
      <c r="C95" s="26" t="s">
        <v>418</v>
      </c>
      <c r="D95" s="26">
        <v>5.5577776948085925E-2</v>
      </c>
      <c r="E95" s="26">
        <v>7.0272563958327844E-2</v>
      </c>
      <c r="F95" s="26">
        <v>5.5577776948085925E-2</v>
      </c>
      <c r="G95" s="27">
        <v>7.0272563958327844E-2</v>
      </c>
      <c r="H95" s="28">
        <v>19.771104285244419</v>
      </c>
      <c r="I95" s="28">
        <v>85.977960979099237</v>
      </c>
      <c r="J95" s="26">
        <v>93.893428372739905</v>
      </c>
      <c r="K95" s="29">
        <v>0.75602740403140245</v>
      </c>
      <c r="L95" s="26">
        <v>9.0232492349728677</v>
      </c>
      <c r="M95" s="30">
        <v>0.23038129019558079</v>
      </c>
      <c r="N95" s="29" t="e">
        <v>#N/A</v>
      </c>
      <c r="O95" s="31">
        <v>21.046094160906812</v>
      </c>
      <c r="P95" s="31">
        <v>3379427000</v>
      </c>
      <c r="Q95" s="31">
        <v>3379427000</v>
      </c>
      <c r="R95" s="29">
        <v>891251072</v>
      </c>
      <c r="S95" s="29">
        <v>12.222815479250258</v>
      </c>
      <c r="T95" s="29">
        <v>12.229355038245936</v>
      </c>
      <c r="U95" s="29">
        <v>43.916581118008459</v>
      </c>
      <c r="V95" s="29">
        <v>6.4320446865612473</v>
      </c>
      <c r="W95">
        <v>1.1993821141647938</v>
      </c>
      <c r="X95" t="s">
        <v>66</v>
      </c>
      <c r="Y95" t="s">
        <v>84</v>
      </c>
      <c r="Z95" t="s">
        <v>208</v>
      </c>
    </row>
    <row r="96" spans="2:26" x14ac:dyDescent="0.25">
      <c r="B96" t="s">
        <v>419</v>
      </c>
      <c r="C96" s="26" t="s">
        <v>420</v>
      </c>
      <c r="D96" s="26" t="e">
        <v>#N/A</v>
      </c>
      <c r="E96" s="26">
        <v>0.1227168337790193</v>
      </c>
      <c r="F96" s="26">
        <v>9.3074790119449344E-2</v>
      </c>
      <c r="G96" s="27">
        <v>8.8613309364776308E-2</v>
      </c>
      <c r="H96" s="28">
        <v>-5.0324547154254624</v>
      </c>
      <c r="I96" s="28">
        <v>8.7140960373186367</v>
      </c>
      <c r="J96" s="26">
        <v>10.333852316319195</v>
      </c>
      <c r="K96" s="29">
        <v>0.43755285650371323</v>
      </c>
      <c r="L96" s="26">
        <v>6.9772127759182174</v>
      </c>
      <c r="M96" s="30">
        <v>0.22109155319548748</v>
      </c>
      <c r="N96" s="29" t="e">
        <v>#N/A</v>
      </c>
      <c r="O96" s="31">
        <v>16.288139830102491</v>
      </c>
      <c r="P96" s="31">
        <v>9429285000</v>
      </c>
      <c r="Q96" s="31">
        <v>13058219000</v>
      </c>
      <c r="R96" s="29">
        <v>3184247040</v>
      </c>
      <c r="S96" s="29">
        <v>11.647489032831039</v>
      </c>
      <c r="T96" s="29">
        <v>44.320900378153993</v>
      </c>
      <c r="U96" s="29">
        <v>-33.992816964352116</v>
      </c>
      <c r="V96" s="29" t="e">
        <v>#N/A</v>
      </c>
      <c r="W96">
        <v>1.2785492807871708</v>
      </c>
      <c r="X96" t="s">
        <v>145</v>
      </c>
      <c r="Y96" t="s">
        <v>146</v>
      </c>
      <c r="Z96" t="s">
        <v>147</v>
      </c>
    </row>
    <row r="97" spans="2:26" x14ac:dyDescent="0.25">
      <c r="B97" t="s">
        <v>421</v>
      </c>
      <c r="C97" s="26" t="s">
        <v>422</v>
      </c>
      <c r="D97" s="26">
        <v>0.14803444937000668</v>
      </c>
      <c r="E97" s="26">
        <v>0.17877841305257286</v>
      </c>
      <c r="F97" s="26">
        <v>0.12868136973296171</v>
      </c>
      <c r="G97" s="27">
        <v>0.15536547886238372</v>
      </c>
      <c r="H97" s="28" t="e">
        <v>#N/A</v>
      </c>
      <c r="I97" s="28">
        <v>6.1783571504971153</v>
      </c>
      <c r="J97" s="26">
        <v>6.9408984011705401</v>
      </c>
      <c r="K97" s="29">
        <v>0.14436681781592869</v>
      </c>
      <c r="L97" s="26" t="e">
        <v>#N/A</v>
      </c>
      <c r="M97" s="30">
        <v>0.36186323977547807</v>
      </c>
      <c r="N97" s="29" t="e">
        <v>#N/A</v>
      </c>
      <c r="O97" s="31" t="e">
        <v>#N/A</v>
      </c>
      <c r="P97" s="31">
        <v>358550000</v>
      </c>
      <c r="Q97" s="31">
        <v>412582000</v>
      </c>
      <c r="R97" s="29">
        <v>301498560</v>
      </c>
      <c r="S97" s="29" t="e">
        <v>#N/A</v>
      </c>
      <c r="T97" s="29" t="e">
        <v>#N/A</v>
      </c>
      <c r="U97" s="29" t="e">
        <v>#N/A</v>
      </c>
      <c r="V97" s="29" t="e">
        <v>#N/A</v>
      </c>
      <c r="W97">
        <v>0.89616252285191966</v>
      </c>
      <c r="X97" t="s">
        <v>73</v>
      </c>
      <c r="Y97" t="s">
        <v>127</v>
      </c>
      <c r="Z97" t="s">
        <v>128</v>
      </c>
    </row>
    <row r="98" spans="2:26" x14ac:dyDescent="0.25">
      <c r="B98" t="s">
        <v>423</v>
      </c>
      <c r="C98" s="26" t="s">
        <v>424</v>
      </c>
      <c r="D98" s="26">
        <v>6.0837052204726218E-2</v>
      </c>
      <c r="E98" s="26">
        <v>7.1267469609908554E-2</v>
      </c>
      <c r="F98" s="26">
        <v>6.0837052204726218E-2</v>
      </c>
      <c r="G98" s="27">
        <v>7.1267469609908554E-2</v>
      </c>
      <c r="H98" s="28">
        <v>9.0713787783892315</v>
      </c>
      <c r="I98" s="28">
        <v>56.465673322420074</v>
      </c>
      <c r="J98" s="26">
        <v>65.596206230172072</v>
      </c>
      <c r="K98" s="29">
        <v>0.59812721611948227</v>
      </c>
      <c r="L98" s="26">
        <v>12.328710204315557</v>
      </c>
      <c r="M98" s="30">
        <v>0.35727825597956914</v>
      </c>
      <c r="N98" s="29" t="e">
        <v>#N/A</v>
      </c>
      <c r="O98" s="31">
        <v>40.417964178826061</v>
      </c>
      <c r="P98" s="31">
        <v>1358502000</v>
      </c>
      <c r="Q98" s="31">
        <v>1358502000</v>
      </c>
      <c r="R98" s="29">
        <v>376061888</v>
      </c>
      <c r="S98" s="29">
        <v>17.716879502536035</v>
      </c>
      <c r="T98" s="29">
        <v>19.742498171890219</v>
      </c>
      <c r="U98" s="29">
        <v>-16.988959008789532</v>
      </c>
      <c r="V98" s="29">
        <v>8.4792629853310615</v>
      </c>
      <c r="W98">
        <v>0.75670461461742133</v>
      </c>
      <c r="X98" t="s">
        <v>66</v>
      </c>
      <c r="Y98" t="s">
        <v>110</v>
      </c>
      <c r="Z98" t="s">
        <v>110</v>
      </c>
    </row>
    <row r="99" spans="2:26" x14ac:dyDescent="0.25">
      <c r="B99" t="s">
        <v>425</v>
      </c>
      <c r="C99" s="26" t="s">
        <v>426</v>
      </c>
      <c r="D99" s="26">
        <v>0.57863799469698862</v>
      </c>
      <c r="E99" s="26">
        <v>0.57624178142281191</v>
      </c>
      <c r="F99" s="26">
        <v>0.38103816489790432</v>
      </c>
      <c r="G99" s="27">
        <v>0.41472222025156608</v>
      </c>
      <c r="H99" s="28">
        <v>13.046318352494987</v>
      </c>
      <c r="I99" s="28">
        <v>27.558877996854466</v>
      </c>
      <c r="J99" s="26">
        <v>30.767865916907791</v>
      </c>
      <c r="K99" s="29">
        <v>-0.10584614222591486</v>
      </c>
      <c r="L99" s="26">
        <v>-0.32541101616199142</v>
      </c>
      <c r="M99" s="30">
        <v>1.1747775534496478</v>
      </c>
      <c r="N99" s="29" t="e">
        <v>#N/A</v>
      </c>
      <c r="O99" s="31">
        <v>5.1315975829905209</v>
      </c>
      <c r="P99" s="31">
        <v>101447000</v>
      </c>
      <c r="Q99" s="31">
        <v>140957000</v>
      </c>
      <c r="R99" s="29">
        <v>595856512</v>
      </c>
      <c r="S99" s="29">
        <v>6.666467490247074</v>
      </c>
      <c r="T99" s="29">
        <v>9.179515451885722</v>
      </c>
      <c r="U99" s="29">
        <v>7.4089984939192881</v>
      </c>
      <c r="V99" s="29">
        <v>13.749375081549228</v>
      </c>
      <c r="W99">
        <v>3.7403976196305155</v>
      </c>
      <c r="X99" t="s">
        <v>77</v>
      </c>
      <c r="Y99" t="s">
        <v>111</v>
      </c>
      <c r="Z99" t="s">
        <v>228</v>
      </c>
    </row>
    <row r="100" spans="2:26" x14ac:dyDescent="0.25">
      <c r="B100" t="s">
        <v>427</v>
      </c>
      <c r="C100" s="26" t="s">
        <v>428</v>
      </c>
      <c r="D100" s="26">
        <v>1.150409350599382</v>
      </c>
      <c r="E100" s="26">
        <v>-0.36314254902743937</v>
      </c>
      <c r="F100" s="26">
        <v>1.041051787433978</v>
      </c>
      <c r="G100" s="27">
        <v>-0.34525708209918737</v>
      </c>
      <c r="H100" s="28">
        <v>16.212459967369629</v>
      </c>
      <c r="I100" s="28">
        <v>12.910643852296733</v>
      </c>
      <c r="J100" s="26">
        <v>-99.533134483205828</v>
      </c>
      <c r="K100" s="29">
        <v>-0.3382655364397853</v>
      </c>
      <c r="L100" s="26">
        <v>-5.8305475504322768</v>
      </c>
      <c r="M100" s="30">
        <v>0.7761176932643844</v>
      </c>
      <c r="N100" s="29" t="e">
        <v>#N/A</v>
      </c>
      <c r="O100" s="31">
        <v>-10.50388862071194</v>
      </c>
      <c r="P100" s="31">
        <v>25037000</v>
      </c>
      <c r="Q100" s="31">
        <v>26334000</v>
      </c>
      <c r="R100" s="29">
        <v>205843280</v>
      </c>
      <c r="S100" s="29">
        <v>53.497198847262247</v>
      </c>
      <c r="T100" s="29">
        <v>86.948608899297426</v>
      </c>
      <c r="U100" s="29">
        <v>-2.0199833582131022</v>
      </c>
      <c r="V100" s="29">
        <v>68.557389745576586</v>
      </c>
      <c r="W100">
        <v>4.3790895705826207</v>
      </c>
      <c r="X100" t="s">
        <v>77</v>
      </c>
      <c r="Y100" t="s">
        <v>83</v>
      </c>
      <c r="Z100" t="s">
        <v>83</v>
      </c>
    </row>
    <row r="101" spans="2:26" x14ac:dyDescent="0.25">
      <c r="B101" t="s">
        <v>429</v>
      </c>
      <c r="C101" s="26" t="s">
        <v>430</v>
      </c>
      <c r="D101" s="26">
        <v>0.11965401595106422</v>
      </c>
      <c r="E101" s="26">
        <v>0.12304846885591579</v>
      </c>
      <c r="F101" s="26">
        <v>0.11965401595106422</v>
      </c>
      <c r="G101" s="27">
        <v>0.12304846885591579</v>
      </c>
      <c r="H101" s="28">
        <v>5.8463081534352659</v>
      </c>
      <c r="I101" s="28">
        <v>15.763231539395051</v>
      </c>
      <c r="J101" s="26">
        <v>15.893670459018237</v>
      </c>
      <c r="K101" s="29">
        <v>0.28163017584695682</v>
      </c>
      <c r="L101" s="26">
        <v>2.360797240906233</v>
      </c>
      <c r="M101" s="30">
        <v>0.44858931461511886</v>
      </c>
      <c r="N101" s="29" t="e">
        <v>#N/A</v>
      </c>
      <c r="O101" s="31">
        <v>-0.39416999418316329</v>
      </c>
      <c r="P101" s="31">
        <v>335762000</v>
      </c>
      <c r="Q101" s="31">
        <v>335762000</v>
      </c>
      <c r="R101" s="29">
        <v>394814624</v>
      </c>
      <c r="S101" s="29">
        <v>4.3520460357081614</v>
      </c>
      <c r="T101" s="29">
        <v>8.8581960905988204</v>
      </c>
      <c r="U101" s="29">
        <v>18.887935499687561</v>
      </c>
      <c r="V101" s="29">
        <v>7.7619273788464733</v>
      </c>
      <c r="W101">
        <v>0.52857045253845891</v>
      </c>
      <c r="X101" t="s">
        <v>76</v>
      </c>
      <c r="Y101" t="s">
        <v>196</v>
      </c>
      <c r="Z101" t="s">
        <v>197</v>
      </c>
    </row>
    <row r="102" spans="2:26" x14ac:dyDescent="0.25">
      <c r="B102" t="s">
        <v>431</v>
      </c>
      <c r="C102" s="26" t="s">
        <v>432</v>
      </c>
      <c r="D102" s="26">
        <v>5.4304199492365111E-2</v>
      </c>
      <c r="E102" s="26">
        <v>8.0666218157354044E-2</v>
      </c>
      <c r="F102" s="26">
        <v>5.4304199492365111E-2</v>
      </c>
      <c r="G102" s="27">
        <v>8.0666218157354044E-2</v>
      </c>
      <c r="H102" s="28" t="e">
        <v>#N/A</v>
      </c>
      <c r="I102" s="28">
        <v>10.286066608065589</v>
      </c>
      <c r="J102" s="26">
        <v>15.460624747928131</v>
      </c>
      <c r="K102" s="29">
        <v>0.16559657710652659</v>
      </c>
      <c r="L102" s="26" t="e">
        <v>#N/A</v>
      </c>
      <c r="M102" s="30">
        <v>0.2658053708221666</v>
      </c>
      <c r="N102" s="29" t="e">
        <v>#N/A</v>
      </c>
      <c r="O102" s="31" t="e">
        <v>#N/A</v>
      </c>
      <c r="P102" s="31">
        <v>274985000</v>
      </c>
      <c r="Q102" s="31">
        <v>274985000</v>
      </c>
      <c r="R102" s="29">
        <v>227863760</v>
      </c>
      <c r="S102" s="29" t="e">
        <v>#N/A</v>
      </c>
      <c r="T102" s="29" t="e">
        <v>#N/A</v>
      </c>
      <c r="U102" s="29" t="e">
        <v>#N/A</v>
      </c>
      <c r="V102" s="29" t="e">
        <v>#N/A</v>
      </c>
      <c r="W102">
        <v>1.5024497380092896</v>
      </c>
      <c r="X102" t="s">
        <v>66</v>
      </c>
      <c r="Y102" t="s">
        <v>78</v>
      </c>
      <c r="Z102" t="s">
        <v>121</v>
      </c>
    </row>
    <row r="103" spans="2:26" x14ac:dyDescent="0.25">
      <c r="B103" t="s">
        <v>433</v>
      </c>
      <c r="C103" s="26" t="s">
        <v>434</v>
      </c>
      <c r="D103" s="26">
        <v>23.636814148187028</v>
      </c>
      <c r="E103" s="26">
        <v>-3.5278823799076657</v>
      </c>
      <c r="F103" s="26">
        <v>0.89507709792679457</v>
      </c>
      <c r="G103" s="27">
        <v>0.65300506703517813</v>
      </c>
      <c r="H103" s="28">
        <v>19.837745547608776</v>
      </c>
      <c r="I103" s="28">
        <v>45.979131299187728</v>
      </c>
      <c r="J103" s="26">
        <v>19.433164234306279</v>
      </c>
      <c r="K103" s="29">
        <v>-0.66938799723723741</v>
      </c>
      <c r="L103" s="26">
        <v>-3.6628511805850756</v>
      </c>
      <c r="M103" s="30">
        <v>0.70446279747740492</v>
      </c>
      <c r="N103" s="29" t="e">
        <v>#N/A</v>
      </c>
      <c r="O103" s="31">
        <v>22.845661561416339</v>
      </c>
      <c r="P103" s="31">
        <v>-30538999.99999994</v>
      </c>
      <c r="Q103" s="31">
        <v>164988000.00000006</v>
      </c>
      <c r="R103" s="29">
        <v>1607488128</v>
      </c>
      <c r="S103" s="29">
        <v>8.7612175136221353</v>
      </c>
      <c r="T103" s="29">
        <v>9.8422398110684703</v>
      </c>
      <c r="U103" s="29">
        <v>8.5242931262258139</v>
      </c>
      <c r="V103" s="29">
        <v>15.846068353607864</v>
      </c>
      <c r="W103">
        <v>2.5255434254318985</v>
      </c>
      <c r="X103" t="s">
        <v>71</v>
      </c>
      <c r="Y103" t="s">
        <v>101</v>
      </c>
      <c r="Z103" t="s">
        <v>229</v>
      </c>
    </row>
    <row r="104" spans="2:26" x14ac:dyDescent="0.25">
      <c r="B104" t="s">
        <v>435</v>
      </c>
      <c r="C104" s="26" t="s">
        <v>436</v>
      </c>
      <c r="D104" s="26">
        <v>-7.827821061341278E-2</v>
      </c>
      <c r="E104" s="26">
        <v>-0.38060466910692281</v>
      </c>
      <c r="F104" s="26">
        <v>-7.1176256220192025E-2</v>
      </c>
      <c r="G104" s="27">
        <v>-0.34536993553345008</v>
      </c>
      <c r="H104" s="28">
        <v>-49.635135172165597</v>
      </c>
      <c r="I104" s="28">
        <v>19.068632296736769</v>
      </c>
      <c r="J104" s="26">
        <v>-128.78653404743687</v>
      </c>
      <c r="K104" s="29">
        <v>0.4631382938715774</v>
      </c>
      <c r="L104" s="26">
        <v>-3.4370992900031814</v>
      </c>
      <c r="M104" s="30">
        <v>0.30424255240064119</v>
      </c>
      <c r="N104" s="29" t="e">
        <v>#N/A</v>
      </c>
      <c r="O104" s="31">
        <v>217.26196786041442</v>
      </c>
      <c r="P104" s="31">
        <v>956456999.99999988</v>
      </c>
      <c r="Q104" s="31">
        <v>1054034999.9999999</v>
      </c>
      <c r="R104" s="29">
        <v>358552000</v>
      </c>
      <c r="S104" s="29" t="e">
        <v>#N/A</v>
      </c>
      <c r="T104" s="29" t="e">
        <v>#N/A</v>
      </c>
      <c r="U104" s="29">
        <v>-65.363740824204015</v>
      </c>
      <c r="V104" s="29" t="e">
        <v>#N/A</v>
      </c>
      <c r="W104">
        <v>0.39254213190654436</v>
      </c>
      <c r="X104" t="s">
        <v>69</v>
      </c>
      <c r="Y104" t="s">
        <v>70</v>
      </c>
      <c r="Z104" t="s">
        <v>70</v>
      </c>
    </row>
    <row r="105" spans="2:26" x14ac:dyDescent="0.25">
      <c r="B105" t="s">
        <v>437</v>
      </c>
      <c r="C105" s="26" t="s">
        <v>438</v>
      </c>
      <c r="D105" s="26">
        <v>0.15051695654751662</v>
      </c>
      <c r="E105" s="26">
        <v>0.21491579791499599</v>
      </c>
      <c r="F105" s="26">
        <v>8.242942413172058E-2</v>
      </c>
      <c r="G105" s="27">
        <v>0.12333179935572941</v>
      </c>
      <c r="H105" s="28">
        <v>20.250521920668056</v>
      </c>
      <c r="I105" s="28">
        <v>30.84592219298117</v>
      </c>
      <c r="J105" s="26">
        <v>31.744604316546763</v>
      </c>
      <c r="K105" s="29">
        <v>0.44852374839537867</v>
      </c>
      <c r="L105" s="26">
        <v>5.0784883720930232</v>
      </c>
      <c r="M105" s="30">
        <v>0.15287284795685543</v>
      </c>
      <c r="N105" s="29" t="e">
        <v>#N/A</v>
      </c>
      <c r="O105" s="31">
        <v>6.6072113814602478</v>
      </c>
      <c r="P105" s="31">
        <v>1247000000</v>
      </c>
      <c r="Q105" s="31">
        <v>2173000000</v>
      </c>
      <c r="R105" s="29">
        <v>1156323456</v>
      </c>
      <c r="S105" s="29">
        <v>9.1753588837209303</v>
      </c>
      <c r="T105" s="29">
        <v>12.23381184496124</v>
      </c>
      <c r="U105" s="29">
        <v>2.0755438173866811</v>
      </c>
      <c r="V105" s="29">
        <v>7.9177689907926307</v>
      </c>
      <c r="W105">
        <v>2.082428858677686</v>
      </c>
      <c r="X105" t="s">
        <v>66</v>
      </c>
      <c r="Y105" t="s">
        <v>84</v>
      </c>
      <c r="Z105" t="s">
        <v>151</v>
      </c>
    </row>
    <row r="106" spans="2:26" x14ac:dyDescent="0.25">
      <c r="B106" t="s">
        <v>439</v>
      </c>
      <c r="C106" s="26" t="s">
        <v>440</v>
      </c>
      <c r="D106" s="26">
        <v>5.0952717373411595E-2</v>
      </c>
      <c r="E106" s="26">
        <v>6.4968253779642021E-2</v>
      </c>
      <c r="F106" s="26">
        <v>5.050681450951975E-2</v>
      </c>
      <c r="G106" s="27">
        <v>6.4482954234974021E-2</v>
      </c>
      <c r="H106" s="28">
        <v>10.333249077767887</v>
      </c>
      <c r="I106" s="28">
        <v>12.866465457336432</v>
      </c>
      <c r="J106" s="26">
        <v>17.232996344059433</v>
      </c>
      <c r="K106" s="29">
        <v>0.32843880250283358</v>
      </c>
      <c r="L106" s="26">
        <v>6.2713948084447173</v>
      </c>
      <c r="M106" s="30">
        <v>0.36187814485127712</v>
      </c>
      <c r="N106" s="29" t="e">
        <v>#N/A</v>
      </c>
      <c r="O106" s="31">
        <v>-0.63179410262045521</v>
      </c>
      <c r="P106" s="31">
        <v>2524710000</v>
      </c>
      <c r="Q106" s="31">
        <v>2543711000</v>
      </c>
      <c r="R106" s="29">
        <v>2249285120</v>
      </c>
      <c r="S106" s="29">
        <v>17.439420865524021</v>
      </c>
      <c r="T106" s="29">
        <v>17.718387554039943</v>
      </c>
      <c r="U106" s="29">
        <v>19.818963635877342</v>
      </c>
      <c r="V106" s="29">
        <v>37.080875854014387</v>
      </c>
      <c r="W106">
        <v>1.6197498747164756</v>
      </c>
      <c r="X106" t="s">
        <v>66</v>
      </c>
      <c r="Y106" t="s">
        <v>78</v>
      </c>
      <c r="Z106" t="s">
        <v>121</v>
      </c>
    </row>
    <row r="107" spans="2:26" x14ac:dyDescent="0.25">
      <c r="B107" t="s">
        <v>441</v>
      </c>
      <c r="C107" s="26" t="s">
        <v>442</v>
      </c>
      <c r="D107" s="26">
        <v>5.4888153197871839E-2</v>
      </c>
      <c r="E107" s="26">
        <v>1.980701929282382E-3</v>
      </c>
      <c r="F107" s="26">
        <v>5.4888153197871839E-2</v>
      </c>
      <c r="G107" s="27">
        <v>1.980701929282382E-3</v>
      </c>
      <c r="H107" s="28">
        <v>1.6265838404364832</v>
      </c>
      <c r="I107" s="28">
        <v>69.171601012800053</v>
      </c>
      <c r="J107" s="26">
        <v>53.954178369323344</v>
      </c>
      <c r="K107" s="29">
        <v>0.58313290910364157</v>
      </c>
      <c r="L107" s="26">
        <v>6.2060038119440915</v>
      </c>
      <c r="M107" s="30">
        <v>0.29166460980703024</v>
      </c>
      <c r="N107" s="29" t="e">
        <v>#N/A</v>
      </c>
      <c r="O107" s="31">
        <v>40.75072901205391</v>
      </c>
      <c r="P107" s="31">
        <v>762356000.00000012</v>
      </c>
      <c r="Q107" s="31">
        <v>762356000.00000012</v>
      </c>
      <c r="R107" s="29">
        <v>203197264</v>
      </c>
      <c r="S107" s="29">
        <v>8.856713224513733</v>
      </c>
      <c r="T107" s="29">
        <v>40.941164802891677</v>
      </c>
      <c r="U107" s="29">
        <v>27.999392747729122</v>
      </c>
      <c r="V107" s="29">
        <v>109.68030223016615</v>
      </c>
      <c r="W107">
        <v>0.83691213556275024</v>
      </c>
      <c r="X107" t="s">
        <v>69</v>
      </c>
      <c r="Y107" t="s">
        <v>70</v>
      </c>
      <c r="Z107" t="s">
        <v>70</v>
      </c>
    </row>
    <row r="108" spans="2:26" x14ac:dyDescent="0.25">
      <c r="B108" t="s">
        <v>443</v>
      </c>
      <c r="C108" s="26" t="s">
        <v>444</v>
      </c>
      <c r="D108" s="26">
        <v>-4.5632557490776639E-2</v>
      </c>
      <c r="E108" s="26">
        <v>0.19057426247711653</v>
      </c>
      <c r="F108" s="26">
        <v>-5.6424609726861107E-2</v>
      </c>
      <c r="G108" s="27">
        <v>9.2239840653364782E-2</v>
      </c>
      <c r="H108" s="28">
        <v>4.2324699936828809</v>
      </c>
      <c r="I108" s="28" t="e">
        <v>#N/A</v>
      </c>
      <c r="J108" s="26">
        <v>16.079900381801156</v>
      </c>
      <c r="K108" s="29">
        <v>0.12053673896826764</v>
      </c>
      <c r="L108" s="26">
        <v>0.99270450282811273</v>
      </c>
      <c r="M108" s="30">
        <v>0.6267804643372592</v>
      </c>
      <c r="N108" s="29" t="e">
        <v>#N/A</v>
      </c>
      <c r="O108" s="31" t="e">
        <v>#N/A</v>
      </c>
      <c r="P108" s="31">
        <v>266568000</v>
      </c>
      <c r="Q108" s="31">
        <v>550749000</v>
      </c>
      <c r="R108" s="29">
        <v>283234272</v>
      </c>
      <c r="S108" s="29">
        <v>5.4545696099714975</v>
      </c>
      <c r="T108" s="29">
        <v>15.087633660130718</v>
      </c>
      <c r="U108" s="29">
        <v>2.5744829072097613</v>
      </c>
      <c r="V108" s="29">
        <v>13.60068382285934</v>
      </c>
      <c r="W108">
        <v>0.5556399687611594</v>
      </c>
      <c r="X108" t="s">
        <v>73</v>
      </c>
      <c r="Y108" t="s">
        <v>177</v>
      </c>
      <c r="Z108" t="s">
        <v>178</v>
      </c>
    </row>
    <row r="109" spans="2:26" x14ac:dyDescent="0.25">
      <c r="B109" t="s">
        <v>445</v>
      </c>
      <c r="C109" s="26" t="s">
        <v>446</v>
      </c>
      <c r="D109" s="26">
        <v>0.17898378981486235</v>
      </c>
      <c r="E109" s="26">
        <v>0.17326955334606814</v>
      </c>
      <c r="F109" s="26">
        <v>0.16473055574827145</v>
      </c>
      <c r="G109" s="27">
        <v>0.16322634352054471</v>
      </c>
      <c r="H109" s="28">
        <v>16.061170232032513</v>
      </c>
      <c r="I109" s="28">
        <v>14.507396928785671</v>
      </c>
      <c r="J109" s="26">
        <v>14.187633841235751</v>
      </c>
      <c r="K109" s="29">
        <v>0.23650105717783146</v>
      </c>
      <c r="L109" s="26">
        <v>1.6359588898597761</v>
      </c>
      <c r="M109" s="30">
        <v>0.42338546944274269</v>
      </c>
      <c r="N109" s="29" t="e">
        <v>#N/A</v>
      </c>
      <c r="O109" s="31">
        <v>14.280336148644162</v>
      </c>
      <c r="P109" s="31">
        <v>188983000</v>
      </c>
      <c r="Q109" s="31">
        <v>200611000</v>
      </c>
      <c r="R109" s="29">
        <v>1492994048</v>
      </c>
      <c r="S109" s="29">
        <v>9.8512099196937548</v>
      </c>
      <c r="T109" s="29">
        <v>13.972741265344665</v>
      </c>
      <c r="U109" s="29">
        <v>-4.1836738590144718</v>
      </c>
      <c r="V109" s="29">
        <v>17.783950251771063</v>
      </c>
      <c r="W109">
        <v>2.7016359987304202</v>
      </c>
      <c r="X109" t="s">
        <v>77</v>
      </c>
      <c r="Y109" t="s">
        <v>111</v>
      </c>
      <c r="Z109" t="s">
        <v>193</v>
      </c>
    </row>
    <row r="110" spans="2:26" x14ac:dyDescent="0.25">
      <c r="B110" t="s">
        <v>447</v>
      </c>
      <c r="C110" s="26" t="s">
        <v>448</v>
      </c>
      <c r="D110" s="26" t="e">
        <v>#N/A</v>
      </c>
      <c r="E110" s="26">
        <v>3.3805364447585549E-2</v>
      </c>
      <c r="F110" s="26">
        <v>3.7012527285916141E-2</v>
      </c>
      <c r="G110" s="27">
        <v>3.3805364447585549E-2</v>
      </c>
      <c r="H110" s="28">
        <v>11.054627657850268</v>
      </c>
      <c r="I110" s="28">
        <v>55.604291623706033</v>
      </c>
      <c r="J110" s="26">
        <v>47.538341922142713</v>
      </c>
      <c r="K110" s="29">
        <v>0.52590331438373117</v>
      </c>
      <c r="L110" s="26">
        <v>10.968056353338644</v>
      </c>
      <c r="M110" s="30">
        <v>0.34697368062556189</v>
      </c>
      <c r="N110" s="29" t="e">
        <v>#N/A</v>
      </c>
      <c r="O110" s="31">
        <v>31.495408363794315</v>
      </c>
      <c r="P110" s="31">
        <v>27121376000</v>
      </c>
      <c r="Q110" s="31">
        <v>27121376000</v>
      </c>
      <c r="R110" s="29">
        <v>7561892352</v>
      </c>
      <c r="S110" s="29">
        <v>16.516352197249038</v>
      </c>
      <c r="T110" s="29">
        <v>16.608056710948805</v>
      </c>
      <c r="U110" s="29">
        <v>-19.644884254496194</v>
      </c>
      <c r="V110" s="29">
        <v>14.196040759573091</v>
      </c>
      <c r="W110">
        <v>0.72337829337376724</v>
      </c>
      <c r="X110" t="s">
        <v>66</v>
      </c>
      <c r="Y110" t="s">
        <v>78</v>
      </c>
      <c r="Z110" t="s">
        <v>121</v>
      </c>
    </row>
    <row r="111" spans="2:26" x14ac:dyDescent="0.25">
      <c r="B111" t="s">
        <v>449</v>
      </c>
      <c r="C111" s="26" t="s">
        <v>450</v>
      </c>
      <c r="D111" s="26">
        <v>2.1924511229946046E-2</v>
      </c>
      <c r="E111" s="26">
        <v>0.41443097379741883</v>
      </c>
      <c r="F111" s="26">
        <v>-3.3257119713017154E-2</v>
      </c>
      <c r="G111" s="27">
        <v>8.370325903224278E-2</v>
      </c>
      <c r="H111" s="28">
        <v>-0.22691347304742876</v>
      </c>
      <c r="I111" s="28">
        <v>-23.305320690455268</v>
      </c>
      <c r="J111" s="26">
        <v>10.881468612337764</v>
      </c>
      <c r="K111" s="29">
        <v>-4.1471859111541248E-2</v>
      </c>
      <c r="L111" s="26">
        <v>-0.4663371268728207</v>
      </c>
      <c r="M111" s="30">
        <v>0.48915971673307418</v>
      </c>
      <c r="N111" s="29">
        <v>7.1377082813496348E-2</v>
      </c>
      <c r="O111" s="31">
        <v>459.96367660806072</v>
      </c>
      <c r="P111" s="31">
        <v>51140000</v>
      </c>
      <c r="Q111" s="31">
        <v>253204000</v>
      </c>
      <c r="R111" s="29">
        <v>232711920</v>
      </c>
      <c r="S111" s="29">
        <v>8.7052504119247427</v>
      </c>
      <c r="T111" s="29">
        <v>24.111751220547653</v>
      </c>
      <c r="U111" s="29">
        <v>-7.1487528442891968</v>
      </c>
      <c r="V111" s="29" t="e">
        <v>#N/A</v>
      </c>
      <c r="W111">
        <v>1.0345759057988626</v>
      </c>
      <c r="X111" t="s">
        <v>91</v>
      </c>
      <c r="Y111" t="s">
        <v>94</v>
      </c>
      <c r="Z111" t="s">
        <v>126</v>
      </c>
    </row>
    <row r="112" spans="2:26" x14ac:dyDescent="0.25">
      <c r="B112" t="s">
        <v>451</v>
      </c>
      <c r="C112" s="26" t="s">
        <v>452</v>
      </c>
      <c r="D112" s="26">
        <v>6.137869916777304E-2</v>
      </c>
      <c r="E112" s="26">
        <v>4.0415640223008392E-2</v>
      </c>
      <c r="F112" s="26">
        <v>6.137869916777304E-2</v>
      </c>
      <c r="G112" s="27">
        <v>4.0415640223008392E-2</v>
      </c>
      <c r="H112" s="28">
        <v>4.7969678996629392</v>
      </c>
      <c r="I112" s="28">
        <v>12.432485955882068</v>
      </c>
      <c r="J112" s="26">
        <v>11.72536372631656</v>
      </c>
      <c r="K112" s="29">
        <v>0.27969021856046744</v>
      </c>
      <c r="L112" s="26">
        <v>3.1086454968748694</v>
      </c>
      <c r="M112" s="30">
        <v>0.5377508388026917</v>
      </c>
      <c r="N112" s="29" t="e">
        <v>#N/A</v>
      </c>
      <c r="O112" s="31">
        <v>16.761400324838178</v>
      </c>
      <c r="P112" s="31">
        <v>215956000</v>
      </c>
      <c r="Q112" s="31">
        <v>215956000</v>
      </c>
      <c r="R112" s="29">
        <v>825612928</v>
      </c>
      <c r="S112" s="29">
        <v>12.246941230756324</v>
      </c>
      <c r="T112" s="29">
        <v>22.111089972735535</v>
      </c>
      <c r="U112" s="29">
        <v>1.0568512905375467</v>
      </c>
      <c r="V112" s="29">
        <v>31.839239423511259</v>
      </c>
      <c r="W112">
        <v>1.5991168525175343</v>
      </c>
      <c r="X112" t="s">
        <v>77</v>
      </c>
      <c r="Y112" t="s">
        <v>181</v>
      </c>
      <c r="Z112" t="s">
        <v>181</v>
      </c>
    </row>
    <row r="113" spans="2:26" x14ac:dyDescent="0.25">
      <c r="B113" t="s">
        <v>453</v>
      </c>
      <c r="C113" s="26" t="s">
        <v>454</v>
      </c>
      <c r="D113" s="26">
        <v>0.28042896005406936</v>
      </c>
      <c r="E113" s="26">
        <v>0.3483856490403654</v>
      </c>
      <c r="F113" s="26">
        <v>0.28042896005406936</v>
      </c>
      <c r="G113" s="27">
        <v>0.3483856490403654</v>
      </c>
      <c r="H113" s="28">
        <v>31.855985341535092</v>
      </c>
      <c r="I113" s="28">
        <v>23.735526225446009</v>
      </c>
      <c r="J113" s="26">
        <v>24.418724279835391</v>
      </c>
      <c r="K113" s="29">
        <v>-7.1045180352086665E-2</v>
      </c>
      <c r="L113" s="26">
        <v>-0.23439816413151643</v>
      </c>
      <c r="M113" s="30">
        <v>0.52637572325495507</v>
      </c>
      <c r="N113" s="29" t="e">
        <v>#N/A</v>
      </c>
      <c r="O113" s="31">
        <v>3.6550813569623317</v>
      </c>
      <c r="P113" s="31">
        <v>75758000</v>
      </c>
      <c r="Q113" s="31">
        <v>75758000</v>
      </c>
      <c r="R113" s="29">
        <v>409610688</v>
      </c>
      <c r="S113" s="29">
        <v>8.0840902499949223</v>
      </c>
      <c r="T113" s="29">
        <v>10.588622865350853</v>
      </c>
      <c r="U113" s="29">
        <v>8.2834752593174521</v>
      </c>
      <c r="V113" s="29">
        <v>15.343942771240476</v>
      </c>
      <c r="W113">
        <v>4.7798799274980999</v>
      </c>
      <c r="X113" t="s">
        <v>77</v>
      </c>
      <c r="Y113" t="s">
        <v>97</v>
      </c>
      <c r="Z113" t="s">
        <v>198</v>
      </c>
    </row>
    <row r="114" spans="2:26" x14ac:dyDescent="0.25">
      <c r="B114" t="s">
        <v>455</v>
      </c>
      <c r="C114" s="26" t="s">
        <v>456</v>
      </c>
      <c r="D114" s="26">
        <v>0.11629575801824388</v>
      </c>
      <c r="E114" s="26">
        <v>0.10723842515365455</v>
      </c>
      <c r="F114" s="26">
        <v>0.11629575801824388</v>
      </c>
      <c r="G114" s="27">
        <v>0.10723842515365455</v>
      </c>
      <c r="H114" s="28">
        <v>7.1960271119540424</v>
      </c>
      <c r="I114" s="28">
        <v>76.325851621226391</v>
      </c>
      <c r="J114" s="26">
        <v>78.094935092934108</v>
      </c>
      <c r="K114" s="29">
        <v>0.25972279932978609</v>
      </c>
      <c r="L114" s="26">
        <v>3.4509534418941921</v>
      </c>
      <c r="M114" s="30">
        <v>0.49082626032239274</v>
      </c>
      <c r="N114" s="29" t="e">
        <v>#N/A</v>
      </c>
      <c r="O114" s="31">
        <v>1.8954265741871743</v>
      </c>
      <c r="P114" s="31">
        <v>18170306000</v>
      </c>
      <c r="Q114" s="31">
        <v>18170306000</v>
      </c>
      <c r="R114" s="29">
        <v>4214400256</v>
      </c>
      <c r="S114" s="29">
        <v>9.4256254576721048</v>
      </c>
      <c r="T114" s="29">
        <v>10.646888839884618</v>
      </c>
      <c r="U114" s="29">
        <v>16.892225625377336</v>
      </c>
      <c r="V114" s="29">
        <v>5.3662589472178848</v>
      </c>
      <c r="W114">
        <v>0.81944308340975358</v>
      </c>
      <c r="X114" t="s">
        <v>69</v>
      </c>
      <c r="Y114" t="s">
        <v>159</v>
      </c>
      <c r="Z114" t="s">
        <v>186</v>
      </c>
    </row>
    <row r="115" spans="2:26" x14ac:dyDescent="0.25">
      <c r="B115" t="s">
        <v>457</v>
      </c>
      <c r="C115" s="26" t="s">
        <v>458</v>
      </c>
      <c r="D115" s="26">
        <v>0.15327572894103703</v>
      </c>
      <c r="E115" s="26">
        <v>0.45608791208791211</v>
      </c>
      <c r="F115" s="26">
        <v>0.13328479125904796</v>
      </c>
      <c r="G115" s="27">
        <v>0.39860166724290269</v>
      </c>
      <c r="H115" s="28">
        <v>-2.5500085000283335</v>
      </c>
      <c r="I115" s="28">
        <v>83.669678885967613</v>
      </c>
      <c r="J115" s="26">
        <v>110.7711546477699</v>
      </c>
      <c r="K115" s="29">
        <v>0.32058530096441634</v>
      </c>
      <c r="L115" s="26">
        <v>1.2911601071502163</v>
      </c>
      <c r="M115" s="30">
        <v>0.33863043324948872</v>
      </c>
      <c r="N115" s="29" t="e">
        <v>#N/A</v>
      </c>
      <c r="O115" s="31">
        <v>15.361575316879415</v>
      </c>
      <c r="P115" s="31">
        <v>22750000000</v>
      </c>
      <c r="Q115" s="31">
        <v>26031000000</v>
      </c>
      <c r="R115" s="29">
        <v>10639533056</v>
      </c>
      <c r="S115" s="29">
        <v>2.8815715079332374</v>
      </c>
      <c r="T115" s="29">
        <v>4.3382244541647275</v>
      </c>
      <c r="U115" s="29" t="e">
        <v>#N/A</v>
      </c>
      <c r="V115" s="29" t="e">
        <v>#N/A</v>
      </c>
      <c r="W115">
        <v>1.1012533255203996</v>
      </c>
      <c r="X115" t="s">
        <v>69</v>
      </c>
      <c r="Y115" t="s">
        <v>159</v>
      </c>
      <c r="Z115" t="s">
        <v>186</v>
      </c>
    </row>
    <row r="116" spans="2:26" x14ac:dyDescent="0.25">
      <c r="B116" t="s">
        <v>459</v>
      </c>
      <c r="C116" s="26" t="s">
        <v>460</v>
      </c>
      <c r="D116" s="26">
        <v>0.1484691299324338</v>
      </c>
      <c r="E116" s="26">
        <v>0.23401132991637444</v>
      </c>
      <c r="F116" s="26">
        <v>0.13979269293409366</v>
      </c>
      <c r="G116" s="27">
        <v>0.21702191534073853</v>
      </c>
      <c r="H116" s="28">
        <v>23.497137840852979</v>
      </c>
      <c r="I116" s="28">
        <v>3.1968955937836405</v>
      </c>
      <c r="J116" s="26">
        <v>4.943259625304262</v>
      </c>
      <c r="K116" s="29">
        <v>0.19651991450974823</v>
      </c>
      <c r="L116" s="26">
        <v>1.4070459726755342</v>
      </c>
      <c r="M116" s="30">
        <v>0.34245129708170474</v>
      </c>
      <c r="N116" s="29" t="e">
        <v>#N/A</v>
      </c>
      <c r="O116" s="31">
        <v>10.141849731985676</v>
      </c>
      <c r="P116" s="31">
        <v>185350000</v>
      </c>
      <c r="Q116" s="31">
        <v>199860000</v>
      </c>
      <c r="R116" s="29">
        <v>404629696</v>
      </c>
      <c r="S116" s="29">
        <v>8.1517064834101465</v>
      </c>
      <c r="T116" s="29">
        <v>10.05823645120816</v>
      </c>
      <c r="U116" s="29">
        <v>3.9747453434559583</v>
      </c>
      <c r="V116" s="29">
        <v>15.099458571598161</v>
      </c>
      <c r="W116">
        <v>2.7819047841259539</v>
      </c>
      <c r="X116" t="s">
        <v>73</v>
      </c>
      <c r="Y116" t="s">
        <v>100</v>
      </c>
      <c r="Z116" t="s">
        <v>124</v>
      </c>
    </row>
    <row r="117" spans="2:26" x14ac:dyDescent="0.25">
      <c r="B117" t="s">
        <v>461</v>
      </c>
      <c r="C117" s="26" t="s">
        <v>462</v>
      </c>
      <c r="D117" s="26">
        <v>5.1391271211560507E-2</v>
      </c>
      <c r="E117" s="26">
        <v>9.8871930988719312E-2</v>
      </c>
      <c r="F117" s="26">
        <v>4.6327698972149348E-2</v>
      </c>
      <c r="G117" s="27">
        <v>9.5604748155277516E-2</v>
      </c>
      <c r="H117" s="28">
        <v>-5.435066631826496</v>
      </c>
      <c r="I117" s="28">
        <v>24.668725403067903</v>
      </c>
      <c r="J117" s="26">
        <v>29.107710077967081</v>
      </c>
      <c r="K117" s="29">
        <v>0.27688057798555038</v>
      </c>
      <c r="L117" s="26">
        <v>1.8966521106259098</v>
      </c>
      <c r="M117" s="30">
        <v>0.388646288209607</v>
      </c>
      <c r="N117" s="29" t="e">
        <v>#N/A</v>
      </c>
      <c r="O117" s="31">
        <v>1.0855208705309756</v>
      </c>
      <c r="P117" s="31">
        <v>3014000000</v>
      </c>
      <c r="Q117" s="31">
        <v>3117000000</v>
      </c>
      <c r="R117" s="29">
        <v>2849508608</v>
      </c>
      <c r="S117" s="29">
        <v>6.0444084541484715</v>
      </c>
      <c r="T117" s="29" t="e">
        <v>#N/A</v>
      </c>
      <c r="U117" s="29">
        <v>12.949601168567517</v>
      </c>
      <c r="V117" s="29">
        <v>14.44487603737927</v>
      </c>
      <c r="W117">
        <v>1.5416229955056182</v>
      </c>
      <c r="X117" t="s">
        <v>71</v>
      </c>
      <c r="Y117" t="s">
        <v>75</v>
      </c>
      <c r="Z117" t="s">
        <v>150</v>
      </c>
    </row>
    <row r="118" spans="2:26" x14ac:dyDescent="0.25">
      <c r="B118" t="s">
        <v>463</v>
      </c>
      <c r="C118" s="26" t="s">
        <v>464</v>
      </c>
      <c r="D118" s="26">
        <v>1.142179240175085</v>
      </c>
      <c r="E118" s="26">
        <v>0.72136407237125</v>
      </c>
      <c r="F118" s="26">
        <v>0.35087536626121091</v>
      </c>
      <c r="G118" s="27">
        <v>0.26023083515029233</v>
      </c>
      <c r="H118" s="28">
        <v>23.265763081016615</v>
      </c>
      <c r="I118" s="28">
        <v>14.972530777004831</v>
      </c>
      <c r="J118" s="26">
        <v>15.246551618351178</v>
      </c>
      <c r="K118" s="29">
        <v>0.1394973283621396</v>
      </c>
      <c r="L118" s="26">
        <v>0.56644998439344796</v>
      </c>
      <c r="M118" s="30">
        <v>0.44146621919302953</v>
      </c>
      <c r="N118" s="29" t="e">
        <v>#N/A</v>
      </c>
      <c r="O118" s="31">
        <v>12.41612499367332</v>
      </c>
      <c r="P118" s="31">
        <v>332563000</v>
      </c>
      <c r="Q118" s="31">
        <v>921870000</v>
      </c>
      <c r="R118" s="29">
        <v>4549842944</v>
      </c>
      <c r="S118" s="29">
        <v>12.95418172540611</v>
      </c>
      <c r="T118" s="29">
        <v>18.236810619347295</v>
      </c>
      <c r="U118" s="29">
        <v>5.4698151796248027</v>
      </c>
      <c r="V118" s="29">
        <v>23.890578278868158</v>
      </c>
      <c r="W118">
        <v>5.0264779329050668</v>
      </c>
      <c r="X118" t="s">
        <v>91</v>
      </c>
      <c r="Y118" t="s">
        <v>94</v>
      </c>
      <c r="Z118" t="s">
        <v>212</v>
      </c>
    </row>
    <row r="119" spans="2:26" x14ac:dyDescent="0.25">
      <c r="B119" t="s">
        <v>465</v>
      </c>
      <c r="C119" s="26" t="s">
        <v>466</v>
      </c>
      <c r="D119" s="26" t="e">
        <v>#N/A</v>
      </c>
      <c r="E119" s="26" t="e">
        <v>#N/A</v>
      </c>
      <c r="F119" s="26" t="e">
        <v>#N/A</v>
      </c>
      <c r="G119" s="27" t="e">
        <v>#N/A</v>
      </c>
      <c r="H119" s="28">
        <v>20.967069612338474</v>
      </c>
      <c r="I119" s="28" t="e">
        <v>#N/A</v>
      </c>
      <c r="J119" s="26" t="e">
        <v>#N/A</v>
      </c>
      <c r="K119" s="29">
        <v>-9.4000675016528659E-2</v>
      </c>
      <c r="L119" s="26" t="e">
        <v>#N/A</v>
      </c>
      <c r="M119" s="30">
        <v>6.2372608741871227E-2</v>
      </c>
      <c r="N119" s="29" t="e">
        <v>#N/A</v>
      </c>
      <c r="O119" s="31">
        <v>25.456719203289982</v>
      </c>
      <c r="P119" s="31">
        <v>-28196000000</v>
      </c>
      <c r="Q119" s="31">
        <v>-28056000000</v>
      </c>
      <c r="R119" s="29">
        <v>32353802240</v>
      </c>
      <c r="S119" s="29" t="e">
        <v>#N/A</v>
      </c>
      <c r="T119" s="29" t="e">
        <v>#N/A</v>
      </c>
      <c r="U119" s="29" t="e">
        <v>#N/A</v>
      </c>
      <c r="V119" s="29">
        <v>6.5513108834216816</v>
      </c>
      <c r="W119">
        <v>1.2721960726737429</v>
      </c>
      <c r="X119" t="s">
        <v>66</v>
      </c>
      <c r="Y119" t="s">
        <v>67</v>
      </c>
      <c r="Z119" t="s">
        <v>68</v>
      </c>
    </row>
    <row r="120" spans="2:26" x14ac:dyDescent="0.25">
      <c r="B120" t="s">
        <v>467</v>
      </c>
      <c r="C120" s="26" t="s">
        <v>468</v>
      </c>
      <c r="D120" s="26">
        <v>2.3233429873414375E-2</v>
      </c>
      <c r="E120" s="26">
        <v>1.88593405505991E-2</v>
      </c>
      <c r="F120" s="26">
        <v>2.174296181622893E-2</v>
      </c>
      <c r="G120" s="27">
        <v>1.7591788997589966E-2</v>
      </c>
      <c r="H120" s="28">
        <v>-6.5345449844987167</v>
      </c>
      <c r="I120" s="28">
        <v>3.3471925102814497</v>
      </c>
      <c r="J120" s="26">
        <v>3.0068662455369406</v>
      </c>
      <c r="K120" s="29">
        <v>0.22585557447590868</v>
      </c>
      <c r="L120" s="26">
        <v>6.8437624353362532</v>
      </c>
      <c r="M120" s="30">
        <v>0.2640813203536147</v>
      </c>
      <c r="N120" s="29" t="e">
        <v>#N/A</v>
      </c>
      <c r="O120" s="31">
        <v>6.7230827032348888</v>
      </c>
      <c r="P120" s="31">
        <v>828661000</v>
      </c>
      <c r="Q120" s="31">
        <v>888369000</v>
      </c>
      <c r="R120" s="29">
        <v>592644736</v>
      </c>
      <c r="S120" s="29">
        <v>17.087192200557105</v>
      </c>
      <c r="T120" s="29">
        <v>90.846503526093116</v>
      </c>
      <c r="U120" s="29">
        <v>10.156675043849541</v>
      </c>
      <c r="V120" s="29" t="e">
        <v>#N/A</v>
      </c>
      <c r="W120">
        <v>1.256614940694925</v>
      </c>
      <c r="X120" t="s">
        <v>77</v>
      </c>
      <c r="Y120" t="s">
        <v>199</v>
      </c>
      <c r="Z120" t="s">
        <v>205</v>
      </c>
    </row>
    <row r="121" spans="2:26" x14ac:dyDescent="0.25">
      <c r="B121" t="s">
        <v>469</v>
      </c>
      <c r="C121" s="26" t="s">
        <v>470</v>
      </c>
      <c r="D121" s="26" t="e">
        <v>#N/A</v>
      </c>
      <c r="E121" s="26" t="e">
        <v>#N/A</v>
      </c>
      <c r="F121" s="26" t="e">
        <v>#N/A</v>
      </c>
      <c r="G121" s="27" t="e">
        <v>#N/A</v>
      </c>
      <c r="H121" s="28">
        <v>15.098441527867031</v>
      </c>
      <c r="I121" s="28" t="e">
        <v>#N/A</v>
      </c>
      <c r="J121" s="26" t="e">
        <v>#N/A</v>
      </c>
      <c r="K121" s="29">
        <v>2.4816195170672614E-2</v>
      </c>
      <c r="L121" s="26" t="e">
        <v>#N/A</v>
      </c>
      <c r="M121" s="30">
        <v>5.807085349677206E-2</v>
      </c>
      <c r="N121" s="29" t="e">
        <v>#N/A</v>
      </c>
      <c r="O121" s="31">
        <v>9.8933260973152102</v>
      </c>
      <c r="P121" s="31">
        <v>964276000.00000012</v>
      </c>
      <c r="Q121" s="31">
        <v>964276000.00000012</v>
      </c>
      <c r="R121" s="29">
        <v>448461120</v>
      </c>
      <c r="S121" s="29" t="e">
        <v>#N/A</v>
      </c>
      <c r="T121" s="29" t="e">
        <v>#N/A</v>
      </c>
      <c r="U121" s="29" t="e">
        <v>#N/A</v>
      </c>
      <c r="V121" s="29">
        <v>3.3776588215787324</v>
      </c>
      <c r="W121">
        <v>0.4795500185192641</v>
      </c>
      <c r="X121" t="s">
        <v>66</v>
      </c>
      <c r="Y121" t="s">
        <v>110</v>
      </c>
      <c r="Z121" t="s">
        <v>110</v>
      </c>
    </row>
    <row r="122" spans="2:26" x14ac:dyDescent="0.25">
      <c r="B122" t="s">
        <v>471</v>
      </c>
      <c r="C122" s="26" t="s">
        <v>472</v>
      </c>
      <c r="D122" s="26">
        <v>4.431111275693831E-2</v>
      </c>
      <c r="E122" s="26">
        <v>3.7656600937979595E-2</v>
      </c>
      <c r="F122" s="26">
        <v>4.431111275693831E-2</v>
      </c>
      <c r="G122" s="27">
        <v>3.7656600937979595E-2</v>
      </c>
      <c r="H122" s="28">
        <v>9.7400590359842401</v>
      </c>
      <c r="I122" s="28" t="e">
        <v>#N/A</v>
      </c>
      <c r="J122" s="26">
        <v>65.809622482373982</v>
      </c>
      <c r="K122" s="29">
        <v>0.48428795152160159</v>
      </c>
      <c r="L122" s="26" t="e">
        <v>#N/A</v>
      </c>
      <c r="M122" s="30">
        <v>0.3516766849022589</v>
      </c>
      <c r="N122" s="29" t="e">
        <v>#N/A</v>
      </c>
      <c r="O122" s="31">
        <v>19.819766102329041</v>
      </c>
      <c r="P122" s="31">
        <v>7226170000</v>
      </c>
      <c r="Q122" s="31">
        <v>7226170000</v>
      </c>
      <c r="R122" s="29">
        <v>2621600256</v>
      </c>
      <c r="S122" s="29" t="e">
        <v>#N/A</v>
      </c>
      <c r="T122" s="29">
        <v>11.571092835612562</v>
      </c>
      <c r="U122" s="29">
        <v>0.76563922947679175</v>
      </c>
      <c r="V122" s="29">
        <v>37.791812326205111</v>
      </c>
      <c r="W122">
        <v>0.85724658488071115</v>
      </c>
      <c r="X122" t="s">
        <v>66</v>
      </c>
      <c r="Y122" t="s">
        <v>78</v>
      </c>
      <c r="Z122" t="s">
        <v>121</v>
      </c>
    </row>
    <row r="123" spans="2:26" x14ac:dyDescent="0.25">
      <c r="B123" t="s">
        <v>473</v>
      </c>
      <c r="C123" s="26" t="s">
        <v>474</v>
      </c>
      <c r="D123" s="26">
        <v>1.7326280511119764E-2</v>
      </c>
      <c r="E123" s="26">
        <v>2.6507150777820582E-2</v>
      </c>
      <c r="F123" s="26">
        <v>1.7326280511119764E-2</v>
      </c>
      <c r="G123" s="27">
        <v>2.6507150777820582E-2</v>
      </c>
      <c r="H123" s="28">
        <v>2.5709847562851613</v>
      </c>
      <c r="I123" s="28">
        <v>34.227870289385216</v>
      </c>
      <c r="J123" s="26">
        <v>42.414978715646825</v>
      </c>
      <c r="K123" s="29">
        <v>0.42201641718644495</v>
      </c>
      <c r="L123" s="26">
        <v>12.379300902305406</v>
      </c>
      <c r="M123" s="30">
        <v>0.40745628679277268</v>
      </c>
      <c r="N123" s="29" t="e">
        <v>#N/A</v>
      </c>
      <c r="O123" s="31">
        <v>8.4210763368637451</v>
      </c>
      <c r="P123" s="31">
        <v>13674876000</v>
      </c>
      <c r="Q123" s="31">
        <v>13674876000</v>
      </c>
      <c r="R123" s="29">
        <v>3037232384</v>
      </c>
      <c r="S123" s="29">
        <v>19.960298199253092</v>
      </c>
      <c r="T123" s="29">
        <v>25.235283064231798</v>
      </c>
      <c r="U123" s="29">
        <v>4.428867567349104</v>
      </c>
      <c r="V123" s="29">
        <v>28.561511052520576</v>
      </c>
      <c r="W123">
        <v>0.51195875771806765</v>
      </c>
      <c r="X123" t="s">
        <v>66</v>
      </c>
      <c r="Y123" t="s">
        <v>78</v>
      </c>
      <c r="Z123" t="s">
        <v>121</v>
      </c>
    </row>
    <row r="124" spans="2:26" x14ac:dyDescent="0.25">
      <c r="B124" t="s">
        <v>475</v>
      </c>
      <c r="C124" s="26" t="s">
        <v>476</v>
      </c>
      <c r="D124" s="26">
        <v>5.3422632830268699E-2</v>
      </c>
      <c r="E124" s="26">
        <v>5.0483954900678189E-2</v>
      </c>
      <c r="F124" s="26">
        <v>5.3422632830268699E-2</v>
      </c>
      <c r="G124" s="27">
        <v>5.0483954900678189E-2</v>
      </c>
      <c r="H124" s="28">
        <v>11.646255669507202</v>
      </c>
      <c r="I124" s="28">
        <v>84.163800406766995</v>
      </c>
      <c r="J124" s="26">
        <v>81.821117398637142</v>
      </c>
      <c r="K124" s="29">
        <v>0.41563553362027827</v>
      </c>
      <c r="L124" s="26">
        <v>5.9876255153469327</v>
      </c>
      <c r="M124" s="30">
        <v>0.43856920394899362</v>
      </c>
      <c r="N124" s="29" t="e">
        <v>#N/A</v>
      </c>
      <c r="O124" s="31">
        <v>9.7565657134043224</v>
      </c>
      <c r="P124" s="31">
        <v>16599274000</v>
      </c>
      <c r="Q124" s="31">
        <v>16599274000</v>
      </c>
      <c r="R124" s="29">
        <v>8504227840</v>
      </c>
      <c r="S124" s="29">
        <v>12.148910288246523</v>
      </c>
      <c r="T124" s="29">
        <v>10.622508127475301</v>
      </c>
      <c r="U124" s="29">
        <v>-0.15447610585183913</v>
      </c>
      <c r="V124" s="29" t="e">
        <v>#N/A</v>
      </c>
      <c r="W124">
        <v>0.98432092425416073</v>
      </c>
      <c r="X124" t="s">
        <v>66</v>
      </c>
      <c r="Y124" t="s">
        <v>78</v>
      </c>
      <c r="Z124" t="s">
        <v>121</v>
      </c>
    </row>
    <row r="125" spans="2:26" x14ac:dyDescent="0.25">
      <c r="B125" t="s">
        <v>477</v>
      </c>
      <c r="C125" s="26" t="s">
        <v>478</v>
      </c>
      <c r="D125" s="26">
        <v>0.26416762222707263</v>
      </c>
      <c r="E125" s="26">
        <v>0.36511121884124964</v>
      </c>
      <c r="F125" s="26">
        <v>0.26416762222707263</v>
      </c>
      <c r="G125" s="27">
        <v>0.36511121884124964</v>
      </c>
      <c r="H125" s="28">
        <v>24.512727776521974</v>
      </c>
      <c r="I125" s="28">
        <v>8.5500502376713889</v>
      </c>
      <c r="J125" s="26">
        <v>11.61219668774415</v>
      </c>
      <c r="K125" s="29">
        <v>0.27920015257063058</v>
      </c>
      <c r="L125" s="26">
        <v>1.271111277086387</v>
      </c>
      <c r="M125" s="30">
        <v>0.56221867226639155</v>
      </c>
      <c r="N125" s="29" t="e">
        <v>#N/A</v>
      </c>
      <c r="O125" s="31">
        <v>-2.8409138369417883</v>
      </c>
      <c r="P125" s="31">
        <v>266097000</v>
      </c>
      <c r="Q125" s="31">
        <v>266097000</v>
      </c>
      <c r="R125" s="29">
        <v>226139696</v>
      </c>
      <c r="S125" s="29">
        <v>3.3823761891869184</v>
      </c>
      <c r="T125" s="29">
        <v>3.8942900323548066</v>
      </c>
      <c r="U125" s="29">
        <v>15.386506931538465</v>
      </c>
      <c r="V125" s="29">
        <v>3.1578053236672421</v>
      </c>
      <c r="W125">
        <v>0.82563201775071193</v>
      </c>
      <c r="X125" t="s">
        <v>76</v>
      </c>
      <c r="Y125" t="s">
        <v>95</v>
      </c>
      <c r="Z125" t="s">
        <v>95</v>
      </c>
    </row>
    <row r="126" spans="2:26" x14ac:dyDescent="0.25">
      <c r="B126" t="s">
        <v>479</v>
      </c>
      <c r="C126" s="26" t="s">
        <v>480</v>
      </c>
      <c r="D126" s="26">
        <v>0.1557496657012499</v>
      </c>
      <c r="E126" s="26">
        <v>0.1964488489728502</v>
      </c>
      <c r="F126" s="26">
        <v>0.13307043667960838</v>
      </c>
      <c r="G126" s="27">
        <v>0.16908040870724123</v>
      </c>
      <c r="H126" s="28">
        <v>175.58139534883722</v>
      </c>
      <c r="I126" s="28">
        <v>39.144654024415907</v>
      </c>
      <c r="J126" s="26">
        <v>41.96527932339194</v>
      </c>
      <c r="K126" s="29">
        <v>0.62375924638047675</v>
      </c>
      <c r="L126" s="26">
        <v>2.7830747531734836</v>
      </c>
      <c r="M126" s="30">
        <v>0.12965199884958298</v>
      </c>
      <c r="N126" s="29">
        <v>3.1354891526811299E-2</v>
      </c>
      <c r="O126" s="31" t="e">
        <v>#N/A</v>
      </c>
      <c r="P126" s="31">
        <v>9687000000</v>
      </c>
      <c r="Q126" s="31">
        <v>11255000000</v>
      </c>
      <c r="R126" s="29">
        <v>1613605888</v>
      </c>
      <c r="S126" s="29">
        <v>3.8413556806770099</v>
      </c>
      <c r="T126" s="29">
        <v>8.2182292625226321</v>
      </c>
      <c r="U126" s="29">
        <v>92.091880120853901</v>
      </c>
      <c r="V126" s="29">
        <v>7.2915680060084043</v>
      </c>
      <c r="W126">
        <v>14.165120289655173</v>
      </c>
      <c r="X126" t="s">
        <v>71</v>
      </c>
      <c r="Y126" t="s">
        <v>75</v>
      </c>
      <c r="Z126" t="s">
        <v>157</v>
      </c>
    </row>
    <row r="127" spans="2:26" x14ac:dyDescent="0.25">
      <c r="B127" t="s">
        <v>481</v>
      </c>
      <c r="C127" s="26" t="s">
        <v>482</v>
      </c>
      <c r="D127" s="26">
        <v>0.69102800720497437</v>
      </c>
      <c r="E127" s="26">
        <v>-0.48983563409275788</v>
      </c>
      <c r="F127" s="26">
        <v>0.69102800720497437</v>
      </c>
      <c r="G127" s="27">
        <v>-0.48983563409275788</v>
      </c>
      <c r="H127" s="28" t="e">
        <v>#N/A</v>
      </c>
      <c r="I127" s="28" t="e">
        <v>#N/A</v>
      </c>
      <c r="J127" s="26" t="e">
        <v>#N/A</v>
      </c>
      <c r="K127" s="29">
        <v>0.22913951145274825</v>
      </c>
      <c r="L127" s="26" t="e">
        <v>#N/A</v>
      </c>
      <c r="M127" s="30">
        <v>-0.14939653775426048</v>
      </c>
      <c r="N127" s="29">
        <v>3.1811457854197381E-2</v>
      </c>
      <c r="O127" s="31" t="e">
        <v>#N/A</v>
      </c>
      <c r="P127" s="31">
        <v>3216349.2400000188</v>
      </c>
      <c r="Q127" s="31">
        <v>3216349.2400000188</v>
      </c>
      <c r="R127" s="29">
        <v>211092464</v>
      </c>
      <c r="S127" s="29" t="e">
        <v>#N/A</v>
      </c>
      <c r="T127" s="29" t="e">
        <v>#N/A</v>
      </c>
      <c r="U127" s="29">
        <v>-19.836961426454895</v>
      </c>
      <c r="V127" s="29" t="e">
        <v>#N/A</v>
      </c>
      <c r="W127" t="e">
        <v>#N/A</v>
      </c>
      <c r="X127" t="s">
        <v>66</v>
      </c>
      <c r="Y127" t="s">
        <v>78</v>
      </c>
      <c r="Z127" t="s">
        <v>121</v>
      </c>
    </row>
    <row r="128" spans="2:26" x14ac:dyDescent="0.25">
      <c r="B128" t="s">
        <v>483</v>
      </c>
      <c r="C128" s="26" t="s">
        <v>484</v>
      </c>
      <c r="D128" s="26">
        <v>3.7836149411331829E-2</v>
      </c>
      <c r="E128" s="26">
        <v>9.9026146820741331E-2</v>
      </c>
      <c r="F128" s="26">
        <v>0.11084068154023849</v>
      </c>
      <c r="G128" s="27">
        <v>4.6295107893480271E-2</v>
      </c>
      <c r="H128" s="28">
        <v>0.67580543387806236</v>
      </c>
      <c r="I128" s="28">
        <v>7.6991629521867626</v>
      </c>
      <c r="J128" s="26">
        <v>7.465838383945183</v>
      </c>
      <c r="K128" s="29">
        <v>0.55601788092883053</v>
      </c>
      <c r="L128" s="26">
        <v>7.6107497839524934</v>
      </c>
      <c r="M128" s="30">
        <v>0.1570808841654483</v>
      </c>
      <c r="N128" s="29" t="e">
        <v>#N/A</v>
      </c>
      <c r="O128" s="31">
        <v>24.820944136576038</v>
      </c>
      <c r="P128" s="31">
        <v>1719253000</v>
      </c>
      <c r="Q128" s="31">
        <v>3677516000</v>
      </c>
      <c r="R128" s="29">
        <v>1757120896</v>
      </c>
      <c r="S128" s="29">
        <v>13.576374831192238</v>
      </c>
      <c r="T128" s="29">
        <v>110.55720087806138</v>
      </c>
      <c r="U128" s="29">
        <v>-14.614589160289629</v>
      </c>
      <c r="V128" s="29">
        <v>37.003439082461057</v>
      </c>
      <c r="W128">
        <v>2.7507218263110058</v>
      </c>
      <c r="X128" t="s">
        <v>76</v>
      </c>
      <c r="Y128" t="s">
        <v>82</v>
      </c>
      <c r="Z128" t="s">
        <v>370</v>
      </c>
    </row>
    <row r="129" spans="2:26" x14ac:dyDescent="0.25">
      <c r="B129" t="s">
        <v>485</v>
      </c>
      <c r="C129" s="26" t="s">
        <v>486</v>
      </c>
      <c r="D129" s="26">
        <v>1.2235955466626745E-4</v>
      </c>
      <c r="E129" s="26">
        <v>1.4177316670774556E-2</v>
      </c>
      <c r="F129" s="26">
        <v>9.9982056166771774E-5</v>
      </c>
      <c r="G129" s="27">
        <v>1.4121770332589666E-2</v>
      </c>
      <c r="H129" s="28">
        <v>12.015988169611761</v>
      </c>
      <c r="I129" s="28">
        <v>-8.2145411413764471</v>
      </c>
      <c r="J129" s="26">
        <v>15.027567873581608</v>
      </c>
      <c r="K129" s="29">
        <v>0.41673478284562149</v>
      </c>
      <c r="L129" s="26">
        <v>12.675782953851522</v>
      </c>
      <c r="M129" s="30">
        <v>0.40306698872297736</v>
      </c>
      <c r="N129" s="29" t="e">
        <v>#N/A</v>
      </c>
      <c r="O129" s="31">
        <v>54.850843964040031</v>
      </c>
      <c r="P129" s="31">
        <v>2649373000</v>
      </c>
      <c r="Q129" s="31">
        <v>2659794000</v>
      </c>
      <c r="R129" s="29">
        <v>1218451456</v>
      </c>
      <c r="S129" s="29">
        <v>24.157432225420919</v>
      </c>
      <c r="T129" s="29">
        <v>26.814819947709886</v>
      </c>
      <c r="U129" s="29">
        <v>-8.1170242370328793</v>
      </c>
      <c r="V129" s="29">
        <v>9.7518604544846177</v>
      </c>
      <c r="W129">
        <v>0.93273380914412873</v>
      </c>
      <c r="X129" t="s">
        <v>76</v>
      </c>
      <c r="Y129" t="s">
        <v>209</v>
      </c>
      <c r="Z129" t="s">
        <v>210</v>
      </c>
    </row>
    <row r="130" spans="2:26" x14ac:dyDescent="0.25">
      <c r="B130" t="s">
        <v>487</v>
      </c>
      <c r="C130" s="26" t="s">
        <v>488</v>
      </c>
      <c r="D130" s="26">
        <v>1.41825105220646E-2</v>
      </c>
      <c r="E130" s="26">
        <v>-1.7609068228256686E-2</v>
      </c>
      <c r="F130" s="26">
        <v>1.4161439352614959E-2</v>
      </c>
      <c r="G130" s="27">
        <v>-1.7595754000043769E-2</v>
      </c>
      <c r="H130" s="28">
        <v>-16.230426679517176</v>
      </c>
      <c r="I130" s="28">
        <v>47.137574119305228</v>
      </c>
      <c r="J130" s="26">
        <v>-53.900492718921264</v>
      </c>
      <c r="K130" s="29">
        <v>0.55929983959064145</v>
      </c>
      <c r="L130" s="26">
        <v>67.286768926589687</v>
      </c>
      <c r="M130" s="30">
        <v>0.3337422087510995</v>
      </c>
      <c r="N130" s="29" t="e">
        <v>#N/A</v>
      </c>
      <c r="O130" s="31">
        <v>20.753933660609</v>
      </c>
      <c r="P130" s="31">
        <v>6483648000</v>
      </c>
      <c r="Q130" s="31">
        <v>6488554000</v>
      </c>
      <c r="R130" s="29">
        <v>2665175040</v>
      </c>
      <c r="S130" s="29">
        <v>111.32500542126405</v>
      </c>
      <c r="T130" s="29">
        <v>112.69606056203897</v>
      </c>
      <c r="U130" s="29">
        <v>-16.399410674354808</v>
      </c>
      <c r="V130" s="29" t="e">
        <v>#N/A</v>
      </c>
      <c r="W130">
        <v>1.1055446148792065</v>
      </c>
      <c r="X130" t="s">
        <v>66</v>
      </c>
      <c r="Y130" t="s">
        <v>176</v>
      </c>
      <c r="Z130" t="s">
        <v>248</v>
      </c>
    </row>
    <row r="131" spans="2:26" x14ac:dyDescent="0.25">
      <c r="B131" t="s">
        <v>489</v>
      </c>
      <c r="C131" s="26" t="s">
        <v>490</v>
      </c>
      <c r="D131" s="26">
        <v>4.6648539732063315E-2</v>
      </c>
      <c r="E131" s="26">
        <v>4.5103482395624332E-2</v>
      </c>
      <c r="F131" s="26">
        <v>4.566153865015582E-2</v>
      </c>
      <c r="G131" s="27">
        <v>4.3153548794277748E-2</v>
      </c>
      <c r="H131" s="28">
        <v>6.6633059896430051</v>
      </c>
      <c r="I131" s="28">
        <v>65.200635080004375</v>
      </c>
      <c r="J131" s="26">
        <v>61.598513011152413</v>
      </c>
      <c r="K131" s="29">
        <v>0.38714064526928066</v>
      </c>
      <c r="L131" s="26">
        <v>5.7462732919254655</v>
      </c>
      <c r="M131" s="30">
        <v>0.44993729519802583</v>
      </c>
      <c r="N131" s="29" t="e">
        <v>#N/A</v>
      </c>
      <c r="O131" s="31">
        <v>3.9898323982367536</v>
      </c>
      <c r="P131" s="31">
        <v>36383000000</v>
      </c>
      <c r="Q131" s="31">
        <v>38027000000</v>
      </c>
      <c r="R131" s="29">
        <v>24739643392</v>
      </c>
      <c r="S131" s="29">
        <v>13.439330245962733</v>
      </c>
      <c r="T131" s="29">
        <v>13.514879260462211</v>
      </c>
      <c r="U131" s="29">
        <v>-5.4649130489778726</v>
      </c>
      <c r="V131" s="29">
        <v>76.671952243260876</v>
      </c>
      <c r="W131">
        <v>1.1219859616423555</v>
      </c>
      <c r="X131" t="s">
        <v>66</v>
      </c>
      <c r="Y131" t="s">
        <v>78</v>
      </c>
      <c r="Z131" t="s">
        <v>121</v>
      </c>
    </row>
    <row r="132" spans="2:26" x14ac:dyDescent="0.25">
      <c r="B132" t="s">
        <v>491</v>
      </c>
      <c r="C132" s="26" t="s">
        <v>492</v>
      </c>
      <c r="D132" s="26">
        <v>0.15183615689552601</v>
      </c>
      <c r="E132" s="26">
        <v>0.26079739094704202</v>
      </c>
      <c r="F132" s="26">
        <v>0.15081675257075519</v>
      </c>
      <c r="G132" s="27">
        <v>0.259230943481708</v>
      </c>
      <c r="H132" s="28">
        <v>7.898956899220531</v>
      </c>
      <c r="I132" s="28">
        <v>29.094568974842172</v>
      </c>
      <c r="J132" s="26">
        <v>35.802037894295104</v>
      </c>
      <c r="K132" s="29">
        <v>-0.27440013675884706</v>
      </c>
      <c r="L132" s="26">
        <v>-1.1582300258227021</v>
      </c>
      <c r="M132" s="30">
        <v>1.4889300873375542</v>
      </c>
      <c r="N132" s="29" t="e">
        <v>#N/A</v>
      </c>
      <c r="O132" s="31">
        <v>3.112468897455595</v>
      </c>
      <c r="P132" s="31">
        <v>1158428000</v>
      </c>
      <c r="Q132" s="31">
        <v>1165428000</v>
      </c>
      <c r="R132" s="29">
        <v>11822748672</v>
      </c>
      <c r="S132" s="29">
        <v>4.0472151234846283</v>
      </c>
      <c r="T132" s="29">
        <v>7.6225367354450251</v>
      </c>
      <c r="U132" s="29">
        <v>-0.88136767385362891</v>
      </c>
      <c r="V132" s="29">
        <v>13.252602046504721</v>
      </c>
      <c r="W132">
        <v>1.5521424619858848</v>
      </c>
      <c r="X132" t="s">
        <v>91</v>
      </c>
      <c r="Y132" t="s">
        <v>216</v>
      </c>
      <c r="Z132" t="s">
        <v>222</v>
      </c>
    </row>
    <row r="133" spans="2:26" x14ac:dyDescent="0.25">
      <c r="B133" t="s">
        <v>493</v>
      </c>
      <c r="C133" s="26" t="s">
        <v>494</v>
      </c>
      <c r="D133" s="26">
        <v>0.55722910105562473</v>
      </c>
      <c r="E133" s="26">
        <v>0.77620930660290599</v>
      </c>
      <c r="F133" s="26">
        <v>0.15306525186167641</v>
      </c>
      <c r="G133" s="27">
        <v>0.19905431219489186</v>
      </c>
      <c r="H133" s="28">
        <v>6.9284595582721318</v>
      </c>
      <c r="I133" s="28">
        <v>19.576513714149208</v>
      </c>
      <c r="J133" s="26">
        <v>20.17605574466651</v>
      </c>
      <c r="K133" s="29">
        <v>-0.22606552182688686</v>
      </c>
      <c r="L133" s="26">
        <v>-0.96872828353022933</v>
      </c>
      <c r="M133" s="30">
        <v>1.2906415331255885</v>
      </c>
      <c r="N133" s="29" t="e">
        <v>#N/A</v>
      </c>
      <c r="O133" s="31">
        <v>11.546948599939233</v>
      </c>
      <c r="P133" s="31">
        <v>86992000</v>
      </c>
      <c r="Q133" s="31">
        <v>339224000</v>
      </c>
      <c r="R133" s="29">
        <v>1663553152</v>
      </c>
      <c r="S133" s="29">
        <v>16.842702218420911</v>
      </c>
      <c r="T133" s="29">
        <v>22.018842886494191</v>
      </c>
      <c r="U133" s="29">
        <v>3.1676174540409274</v>
      </c>
      <c r="V133" s="29">
        <v>28.906581710453047</v>
      </c>
      <c r="W133">
        <v>3.9725414193129338</v>
      </c>
      <c r="X133" t="s">
        <v>91</v>
      </c>
      <c r="Y133" t="s">
        <v>94</v>
      </c>
      <c r="Z133" t="s">
        <v>230</v>
      </c>
    </row>
    <row r="134" spans="2:26" x14ac:dyDescent="0.25">
      <c r="B134" t="s">
        <v>495</v>
      </c>
      <c r="C134" s="26" t="s">
        <v>496</v>
      </c>
      <c r="D134" s="26">
        <v>8.1961300136009607E-2</v>
      </c>
      <c r="E134" s="26">
        <v>2.2899843316861518E-3</v>
      </c>
      <c r="F134" s="26">
        <v>6.7620657892030644E-2</v>
      </c>
      <c r="G134" s="27">
        <v>1.9832985386221296E-3</v>
      </c>
      <c r="H134" s="28">
        <v>1.1076923076923075</v>
      </c>
      <c r="I134" s="28">
        <v>8.4771585715005795</v>
      </c>
      <c r="J134" s="26">
        <v>6.2679034238166693</v>
      </c>
      <c r="K134" s="29">
        <v>0.50085052880704095</v>
      </c>
      <c r="L134" s="26">
        <v>5.2741433021806854</v>
      </c>
      <c r="M134" s="30">
        <v>0.22797892461496894</v>
      </c>
      <c r="N134" s="29" t="e">
        <v>#N/A</v>
      </c>
      <c r="O134" s="31">
        <v>4.0466890797701449</v>
      </c>
      <c r="P134" s="31">
        <v>8297000000</v>
      </c>
      <c r="Q134" s="31">
        <v>9580000000</v>
      </c>
      <c r="R134" s="29">
        <v>4712907776</v>
      </c>
      <c r="S134" s="29">
        <v>9.0186197632398759</v>
      </c>
      <c r="T134" s="29">
        <v>31.812933450549451</v>
      </c>
      <c r="U134" s="29">
        <v>8.6782941538298406</v>
      </c>
      <c r="V134" s="29">
        <v>43.379447117124506</v>
      </c>
      <c r="W134">
        <v>1.4563010634146341</v>
      </c>
      <c r="X134" t="s">
        <v>73</v>
      </c>
      <c r="Y134" t="s">
        <v>169</v>
      </c>
      <c r="Z134" t="s">
        <v>187</v>
      </c>
    </row>
    <row r="135" spans="2:26" x14ac:dyDescent="0.25">
      <c r="B135" t="s">
        <v>497</v>
      </c>
      <c r="C135" s="26" t="s">
        <v>498</v>
      </c>
      <c r="D135" s="26">
        <v>0.40346986732841145</v>
      </c>
      <c r="E135" s="26">
        <v>0.34379961269387116</v>
      </c>
      <c r="F135" s="26">
        <v>0.37927268025388211</v>
      </c>
      <c r="G135" s="27">
        <v>0.32799334234890259</v>
      </c>
      <c r="H135" s="28">
        <v>10.306102129226423</v>
      </c>
      <c r="I135" s="28">
        <v>20.433920581633782</v>
      </c>
      <c r="J135" s="26">
        <v>22.124391554284596</v>
      </c>
      <c r="K135" s="29">
        <v>-0.33381698955270905</v>
      </c>
      <c r="L135" s="26">
        <v>-2.2813084921072848</v>
      </c>
      <c r="M135" s="30">
        <v>0.74332499346502856</v>
      </c>
      <c r="N135" s="29" t="e">
        <v>#N/A</v>
      </c>
      <c r="O135" s="31">
        <v>-1.0375388149568816</v>
      </c>
      <c r="P135" s="31">
        <v>458551999.99999994</v>
      </c>
      <c r="Q135" s="31">
        <v>480649999.99999994</v>
      </c>
      <c r="R135" s="29">
        <v>1056009728</v>
      </c>
      <c r="S135" s="29">
        <v>4.8791518062903698</v>
      </c>
      <c r="T135" s="29">
        <v>8.3660058807706221</v>
      </c>
      <c r="U135" s="29">
        <v>8.1771027018417772</v>
      </c>
      <c r="V135" s="29">
        <v>19.362155090417922</v>
      </c>
      <c r="W135">
        <v>1.5138735635342246</v>
      </c>
      <c r="X135" t="s">
        <v>145</v>
      </c>
      <c r="Y135" t="s">
        <v>146</v>
      </c>
      <c r="Z135" t="s">
        <v>147</v>
      </c>
    </row>
    <row r="136" spans="2:26" x14ac:dyDescent="0.25">
      <c r="B136" t="s">
        <v>499</v>
      </c>
      <c r="C136" s="26" t="s">
        <v>500</v>
      </c>
      <c r="D136" s="26">
        <v>8.1360993058410325E-2</v>
      </c>
      <c r="E136" s="26">
        <v>0.17957806799170423</v>
      </c>
      <c r="F136" s="26">
        <v>8.1360993058410325E-2</v>
      </c>
      <c r="G136" s="27">
        <v>0.17957806799170423</v>
      </c>
      <c r="H136" s="28">
        <v>18.370410154845082</v>
      </c>
      <c r="I136" s="28">
        <v>9.6549187572653672</v>
      </c>
      <c r="J136" s="26">
        <v>19.505369683864615</v>
      </c>
      <c r="K136" s="29">
        <v>0.4085527871936443</v>
      </c>
      <c r="L136" s="26">
        <v>6.7725802514341513</v>
      </c>
      <c r="M136" s="30">
        <v>0.20645490247330245</v>
      </c>
      <c r="N136" s="29" t="e">
        <v>#N/A</v>
      </c>
      <c r="O136" s="31">
        <v>28.618871747534552</v>
      </c>
      <c r="P136" s="31">
        <v>548714000</v>
      </c>
      <c r="Q136" s="31">
        <v>548714000</v>
      </c>
      <c r="R136" s="29">
        <v>426785184</v>
      </c>
      <c r="S136" s="29">
        <v>13.284010496765532</v>
      </c>
      <c r="T136" s="29">
        <v>14.812139498485932</v>
      </c>
      <c r="U136" s="29">
        <v>-46.627204378303816</v>
      </c>
      <c r="V136" s="29">
        <v>10.774749716127555</v>
      </c>
      <c r="W136">
        <v>1.8843967308018084</v>
      </c>
      <c r="X136" t="s">
        <v>76</v>
      </c>
      <c r="Y136" t="s">
        <v>131</v>
      </c>
      <c r="Z136" t="s">
        <v>132</v>
      </c>
    </row>
    <row r="137" spans="2:26" x14ac:dyDescent="0.25">
      <c r="B137" t="s">
        <v>501</v>
      </c>
      <c r="C137" s="26" t="s">
        <v>502</v>
      </c>
      <c r="D137" s="26">
        <v>7.3945687896736528E-2</v>
      </c>
      <c r="E137" s="26">
        <v>4.6800443258396669E-2</v>
      </c>
      <c r="F137" s="26">
        <v>7.111220227607204E-2</v>
      </c>
      <c r="G137" s="27">
        <v>4.5111025800365565E-2</v>
      </c>
      <c r="H137" s="28">
        <v>1.1877495838525434</v>
      </c>
      <c r="I137" s="28" t="e">
        <v>#N/A</v>
      </c>
      <c r="J137" s="26" t="e">
        <v>#N/A</v>
      </c>
      <c r="K137" s="29">
        <v>6.4996160464146774E-2</v>
      </c>
      <c r="L137" s="26" t="e">
        <v>#N/A</v>
      </c>
      <c r="M137" s="30">
        <v>5.1212509926088813E-2</v>
      </c>
      <c r="N137" s="29" t="e">
        <v>#N/A</v>
      </c>
      <c r="O137" s="31">
        <v>21.700155693129442</v>
      </c>
      <c r="P137" s="31">
        <v>9252391000</v>
      </c>
      <c r="Q137" s="31">
        <v>9598895000</v>
      </c>
      <c r="R137" s="29">
        <v>4544282624</v>
      </c>
      <c r="S137" s="29" t="e">
        <v>#N/A</v>
      </c>
      <c r="T137" s="29">
        <v>19.094396561818687</v>
      </c>
      <c r="U137" s="29">
        <v>-158.2375392327711</v>
      </c>
      <c r="V137" s="29">
        <v>42.74761788917521</v>
      </c>
      <c r="W137">
        <v>0.55775903173400676</v>
      </c>
      <c r="X137" t="s">
        <v>66</v>
      </c>
      <c r="Y137" t="s">
        <v>72</v>
      </c>
      <c r="Z137" t="s">
        <v>109</v>
      </c>
    </row>
    <row r="138" spans="2:26" x14ac:dyDescent="0.25">
      <c r="B138" t="s">
        <v>503</v>
      </c>
      <c r="C138" s="26" t="s">
        <v>504</v>
      </c>
      <c r="D138" s="26">
        <v>0.18490528460217143</v>
      </c>
      <c r="E138" s="26">
        <v>0.46422018348623856</v>
      </c>
      <c r="F138" s="26">
        <v>0.17011196507263834</v>
      </c>
      <c r="G138" s="27">
        <v>0.42582351526809331</v>
      </c>
      <c r="H138" s="28">
        <v>22.322831008038438</v>
      </c>
      <c r="I138" s="28">
        <v>25.140210065535761</v>
      </c>
      <c r="J138" s="26">
        <v>40.389415876185723</v>
      </c>
      <c r="K138" s="29">
        <v>0.20677312775330398</v>
      </c>
      <c r="L138" s="26">
        <v>0.81306387585709128</v>
      </c>
      <c r="M138" s="30">
        <v>0.51018646408839774</v>
      </c>
      <c r="N138" s="29" t="e">
        <v>#N/A</v>
      </c>
      <c r="O138" s="31">
        <v>11.788938984640808</v>
      </c>
      <c r="P138" s="31">
        <v>7630000000</v>
      </c>
      <c r="Q138" s="31">
        <v>8318000000</v>
      </c>
      <c r="R138" s="29">
        <v>7807912960</v>
      </c>
      <c r="S138" s="29">
        <v>1.6430595279682425</v>
      </c>
      <c r="T138" s="29">
        <v>2.0325526571428569</v>
      </c>
      <c r="U138" s="29">
        <v>55.05073631204511</v>
      </c>
      <c r="V138" s="29">
        <v>2.0947478615744748</v>
      </c>
      <c r="W138">
        <v>0.35810720189230066</v>
      </c>
      <c r="X138" t="s">
        <v>65</v>
      </c>
      <c r="Y138" t="s">
        <v>79</v>
      </c>
      <c r="Z138" t="s">
        <v>168</v>
      </c>
    </row>
    <row r="139" spans="2:26" x14ac:dyDescent="0.25">
      <c r="B139" t="s">
        <v>505</v>
      </c>
      <c r="C139" s="26" t="s">
        <v>506</v>
      </c>
      <c r="D139" s="26">
        <v>0.11137067621791803</v>
      </c>
      <c r="E139" s="26">
        <v>0.22358279097344838</v>
      </c>
      <c r="F139" s="26">
        <v>0.11137067621791803</v>
      </c>
      <c r="G139" s="27">
        <v>0.22358279097344838</v>
      </c>
      <c r="H139" s="28">
        <v>38.397011944432506</v>
      </c>
      <c r="I139" s="28">
        <v>80.282615413853662</v>
      </c>
      <c r="J139" s="26">
        <v>83.744786954993714</v>
      </c>
      <c r="K139" s="29">
        <v>0.45368099004988838</v>
      </c>
      <c r="L139" s="26">
        <v>2.0382714566458668</v>
      </c>
      <c r="M139" s="30">
        <v>0.38378214492434054</v>
      </c>
      <c r="N139" s="29" t="e">
        <v>#N/A</v>
      </c>
      <c r="O139" s="31">
        <v>23.634658055387462</v>
      </c>
      <c r="P139" s="31">
        <v>3024900000</v>
      </c>
      <c r="Q139" s="31">
        <v>3024900000</v>
      </c>
      <c r="R139" s="29">
        <v>13592773632</v>
      </c>
      <c r="S139" s="29">
        <v>6.4790103164274031</v>
      </c>
      <c r="T139" s="29">
        <v>7.5905829688272988</v>
      </c>
      <c r="U139" s="29">
        <v>13.522274263675396</v>
      </c>
      <c r="V139" s="29">
        <v>7.3992269458729565</v>
      </c>
      <c r="W139">
        <v>2.5508921066016539</v>
      </c>
      <c r="X139" t="s">
        <v>69</v>
      </c>
      <c r="Y139" t="s">
        <v>159</v>
      </c>
      <c r="Z139" t="s">
        <v>235</v>
      </c>
    </row>
    <row r="140" spans="2:26" x14ac:dyDescent="0.25">
      <c r="B140" t="s">
        <v>507</v>
      </c>
      <c r="C140" s="26" t="s">
        <v>508</v>
      </c>
      <c r="D140" s="26">
        <v>3.5506713718504015E-2</v>
      </c>
      <c r="E140" s="26">
        <v>3.5413651534394658E-2</v>
      </c>
      <c r="F140" s="26">
        <v>3.4987925467437252E-2</v>
      </c>
      <c r="G140" s="27">
        <v>3.4966462525517647E-2</v>
      </c>
      <c r="H140" s="28">
        <v>-25.523342384163968</v>
      </c>
      <c r="I140" s="28">
        <v>52.2644148381086</v>
      </c>
      <c r="J140" s="26">
        <v>52.783772119119554</v>
      </c>
      <c r="K140" s="29">
        <v>0.58597199444935033</v>
      </c>
      <c r="L140" s="26" t="e">
        <v>#N/A</v>
      </c>
      <c r="M140" s="30">
        <v>0.31481481481481483</v>
      </c>
      <c r="N140" s="29" t="e">
        <v>#N/A</v>
      </c>
      <c r="O140" s="31">
        <v>-5.0874453031370113</v>
      </c>
      <c r="P140" s="31">
        <v>33857000000</v>
      </c>
      <c r="Q140" s="31">
        <v>34290000000</v>
      </c>
      <c r="R140" s="29">
        <v>2092491776</v>
      </c>
      <c r="S140" s="29" t="e">
        <v>#N/A</v>
      </c>
      <c r="T140" s="29" t="e">
        <v>#N/A</v>
      </c>
      <c r="U140" s="29">
        <v>-47.646543295183783</v>
      </c>
      <c r="V140" s="29" t="e">
        <v>#N/A</v>
      </c>
      <c r="W140">
        <v>0.38877834275389178</v>
      </c>
      <c r="X140" t="s">
        <v>66</v>
      </c>
      <c r="Y140" t="s">
        <v>78</v>
      </c>
      <c r="Z140" t="s">
        <v>121</v>
      </c>
    </row>
    <row r="141" spans="2:26" x14ac:dyDescent="0.25">
      <c r="B141" t="s">
        <v>509</v>
      </c>
      <c r="C141" s="26" t="s">
        <v>510</v>
      </c>
      <c r="D141" s="26">
        <v>5.1052469311342351E-2</v>
      </c>
      <c r="E141" s="26">
        <v>3.2612927990173499E-2</v>
      </c>
      <c r="F141" s="26">
        <v>5.1052469311342351E-2</v>
      </c>
      <c r="G141" s="27">
        <v>3.2612927990173499E-2</v>
      </c>
      <c r="H141" s="28">
        <v>12.672428376723484</v>
      </c>
      <c r="I141" s="28">
        <v>34.705602720467041</v>
      </c>
      <c r="J141" s="26">
        <v>29.322883861485987</v>
      </c>
      <c r="K141" s="29">
        <v>0.47656697959035688</v>
      </c>
      <c r="L141" s="26">
        <v>6.050353408095142</v>
      </c>
      <c r="M141" s="30">
        <v>0.31820834513902968</v>
      </c>
      <c r="N141" s="29" t="e">
        <v>#N/A</v>
      </c>
      <c r="O141" s="31">
        <v>13.661275163352547</v>
      </c>
      <c r="P141" s="31">
        <v>2442375000</v>
      </c>
      <c r="Q141" s="31">
        <v>2442375000</v>
      </c>
      <c r="R141" s="29">
        <v>704965120</v>
      </c>
      <c r="S141" s="29">
        <v>9.1089517094177381</v>
      </c>
      <c r="T141" s="29">
        <v>9.2807142385681871</v>
      </c>
      <c r="U141" s="29">
        <v>-95.717927150778749</v>
      </c>
      <c r="V141" s="29" t="e">
        <v>#N/A</v>
      </c>
      <c r="W141">
        <v>0.71843098748743406</v>
      </c>
      <c r="X141" t="s">
        <v>66</v>
      </c>
      <c r="Y141" t="s">
        <v>78</v>
      </c>
      <c r="Z141" t="s">
        <v>121</v>
      </c>
    </row>
    <row r="142" spans="2:26" x14ac:dyDescent="0.25">
      <c r="B142" t="s">
        <v>511</v>
      </c>
      <c r="C142" s="26" t="s">
        <v>512</v>
      </c>
      <c r="D142" s="26">
        <v>9.9780110745304532E-2</v>
      </c>
      <c r="E142" s="26">
        <v>0.11775685550023399</v>
      </c>
      <c r="F142" s="26">
        <v>9.8187714015620806E-2</v>
      </c>
      <c r="G142" s="27">
        <v>0.11622045347249471</v>
      </c>
      <c r="H142" s="28" t="e">
        <v>#N/A</v>
      </c>
      <c r="I142" s="28">
        <v>26.639817986724687</v>
      </c>
      <c r="J142" s="26">
        <v>34.885293895553232</v>
      </c>
      <c r="K142" s="29" t="e">
        <v>#N/A</v>
      </c>
      <c r="L142" s="26" t="e">
        <v>#N/A</v>
      </c>
      <c r="M142" s="30">
        <v>0.12343863199796704</v>
      </c>
      <c r="N142" s="29" t="e">
        <v>#N/A</v>
      </c>
      <c r="O142" s="31" t="e">
        <v>#N/A</v>
      </c>
      <c r="P142" s="31">
        <v>9160783000</v>
      </c>
      <c r="Q142" s="31">
        <v>9281886000</v>
      </c>
      <c r="R142" s="29">
        <v>326736224</v>
      </c>
      <c r="S142" s="29" t="e">
        <v>#N/A</v>
      </c>
      <c r="T142" s="29" t="e">
        <v>#N/A</v>
      </c>
      <c r="U142" s="29" t="e">
        <v>#N/A</v>
      </c>
      <c r="V142" s="29" t="e">
        <v>#N/A</v>
      </c>
      <c r="W142">
        <v>0.6162529698661724</v>
      </c>
      <c r="X142" t="s">
        <v>145</v>
      </c>
      <c r="Y142" t="s">
        <v>146</v>
      </c>
      <c r="Z142" t="s">
        <v>147</v>
      </c>
    </row>
    <row r="143" spans="2:26" x14ac:dyDescent="0.25">
      <c r="B143" t="s">
        <v>513</v>
      </c>
      <c r="C143" s="26" t="s">
        <v>514</v>
      </c>
      <c r="D143" s="26">
        <v>3.7158213356826099E-2</v>
      </c>
      <c r="E143" s="26">
        <v>3.5286500485594043E-2</v>
      </c>
      <c r="F143" s="26">
        <v>3.6616250884018549E-2</v>
      </c>
      <c r="G143" s="27">
        <v>3.4842496803440662E-2</v>
      </c>
      <c r="H143" s="28">
        <v>-41.185306568346306</v>
      </c>
      <c r="I143" s="28">
        <v>54.625938710407681</v>
      </c>
      <c r="J143" s="26">
        <v>52.783772119119554</v>
      </c>
      <c r="K143" s="29">
        <v>0.5925038856473106</v>
      </c>
      <c r="L143" s="26">
        <v>67.795918367346943</v>
      </c>
      <c r="M143" s="30">
        <v>0.30660282258064514</v>
      </c>
      <c r="N143" s="29" t="e">
        <v>#N/A</v>
      </c>
      <c r="O143" s="31">
        <v>-4.7791171680032907</v>
      </c>
      <c r="P143" s="31">
        <v>33979000000</v>
      </c>
      <c r="Q143" s="31">
        <v>34412000000</v>
      </c>
      <c r="R143" s="29">
        <v>547928512</v>
      </c>
      <c r="S143" s="29">
        <v>90.093086040816331</v>
      </c>
      <c r="T143" s="29">
        <v>96.871249253918492</v>
      </c>
      <c r="U143" s="29">
        <v>-102.56812479946289</v>
      </c>
      <c r="V143" s="29" t="e">
        <v>#N/A</v>
      </c>
      <c r="W143">
        <v>0.10793901964542287</v>
      </c>
      <c r="X143" t="s">
        <v>66</v>
      </c>
      <c r="Y143" t="s">
        <v>78</v>
      </c>
      <c r="Z143" t="s">
        <v>123</v>
      </c>
    </row>
    <row r="144" spans="2:26" x14ac:dyDescent="0.25">
      <c r="B144" t="s">
        <v>515</v>
      </c>
      <c r="C144" s="26" t="s">
        <v>516</v>
      </c>
      <c r="D144" s="26" t="e">
        <v>#N/A</v>
      </c>
      <c r="E144" s="26">
        <v>0.10905026812707563</v>
      </c>
      <c r="F144" s="26">
        <v>0.13542970326065162</v>
      </c>
      <c r="G144" s="27">
        <v>9.9025581126158835E-2</v>
      </c>
      <c r="H144" s="28">
        <v>7.1304561672491689</v>
      </c>
      <c r="I144" s="28" t="e">
        <v>#N/A</v>
      </c>
      <c r="J144" s="26" t="e">
        <v>#N/A</v>
      </c>
      <c r="K144" s="29">
        <v>4.9176924505180061E-2</v>
      </c>
      <c r="L144" s="26" t="e">
        <v>#N/A</v>
      </c>
      <c r="M144" s="30">
        <v>9.0415201872960246E-2</v>
      </c>
      <c r="N144" s="29" t="e">
        <v>#N/A</v>
      </c>
      <c r="O144" s="31">
        <v>12.384834970491379</v>
      </c>
      <c r="P144" s="31">
        <v>7939146000</v>
      </c>
      <c r="Q144" s="31">
        <v>8742852000</v>
      </c>
      <c r="R144" s="29">
        <v>5084926976</v>
      </c>
      <c r="S144" s="29" t="e">
        <v>#N/A</v>
      </c>
      <c r="T144" s="29">
        <v>11.774455090948045</v>
      </c>
      <c r="U144" s="29">
        <v>8.1041085141435865</v>
      </c>
      <c r="V144" s="29">
        <v>11.427238995442917</v>
      </c>
      <c r="W144">
        <v>0.86119557882394848</v>
      </c>
      <c r="X144" t="s">
        <v>66</v>
      </c>
      <c r="Y144" t="s">
        <v>72</v>
      </c>
      <c r="Z144" t="s">
        <v>109</v>
      </c>
    </row>
    <row r="145" spans="2:26" x14ac:dyDescent="0.25">
      <c r="B145" t="s">
        <v>517</v>
      </c>
      <c r="C145" s="26" t="s">
        <v>518</v>
      </c>
      <c r="D145" s="26">
        <v>6.077037610770876E-2</v>
      </c>
      <c r="E145" s="26">
        <v>4.922536823628177E-2</v>
      </c>
      <c r="F145" s="26">
        <v>5.9756253635936785E-2</v>
      </c>
      <c r="G145" s="27">
        <v>4.8456164074825329E-2</v>
      </c>
      <c r="H145" s="28">
        <v>-9.9094381375950125</v>
      </c>
      <c r="I145" s="28">
        <v>12.741670800279854</v>
      </c>
      <c r="J145" s="26">
        <v>11.979642437687589</v>
      </c>
      <c r="K145" s="29">
        <v>0.42695237737831648</v>
      </c>
      <c r="L145" s="26">
        <v>54.880225367331384</v>
      </c>
      <c r="M145" s="30">
        <v>0.17304040215974678</v>
      </c>
      <c r="N145" s="29" t="e">
        <v>#N/A</v>
      </c>
      <c r="O145" s="31">
        <v>9.3388280004963047</v>
      </c>
      <c r="P145" s="31">
        <v>13103000000</v>
      </c>
      <c r="Q145" s="31">
        <v>13311000000</v>
      </c>
      <c r="R145" s="29">
        <v>5786495488</v>
      </c>
      <c r="S145" s="29">
        <v>86.652077064822052</v>
      </c>
      <c r="T145" s="29" t="e">
        <v>#N/A</v>
      </c>
      <c r="U145" s="29">
        <v>-29.539934897465869</v>
      </c>
      <c r="V145" s="29">
        <v>50.477305074463573</v>
      </c>
      <c r="W145">
        <v>1.3220600044710162</v>
      </c>
      <c r="X145" t="s">
        <v>77</v>
      </c>
      <c r="Y145" t="s">
        <v>90</v>
      </c>
      <c r="Z145" t="s">
        <v>155</v>
      </c>
    </row>
    <row r="146" spans="2:26" x14ac:dyDescent="0.25">
      <c r="B146" t="s">
        <v>519</v>
      </c>
      <c r="C146" s="26" t="s">
        <v>520</v>
      </c>
      <c r="D146" s="26">
        <v>0.12541452518740387</v>
      </c>
      <c r="E146" s="26">
        <v>0.11861456642862106</v>
      </c>
      <c r="F146" s="26">
        <v>0.12541452518740387</v>
      </c>
      <c r="G146" s="27">
        <v>0.11861456642862106</v>
      </c>
      <c r="H146" s="28">
        <v>22.050147833140173</v>
      </c>
      <c r="I146" s="28">
        <v>84.394574894439074</v>
      </c>
      <c r="J146" s="26">
        <v>81.592996413361462</v>
      </c>
      <c r="K146" s="29">
        <v>0.70687576594664492</v>
      </c>
      <c r="L146" s="26">
        <v>6.1007856608619102</v>
      </c>
      <c r="M146" s="30">
        <v>0.27042997311230099</v>
      </c>
      <c r="N146" s="29" t="e">
        <v>#N/A</v>
      </c>
      <c r="O146" s="31">
        <v>29.401620909198101</v>
      </c>
      <c r="P146" s="31">
        <v>1223155000</v>
      </c>
      <c r="Q146" s="31">
        <v>1223155000</v>
      </c>
      <c r="R146" s="29">
        <v>376319616</v>
      </c>
      <c r="S146" s="29">
        <v>8.656259248227796</v>
      </c>
      <c r="T146" s="29">
        <v>8.8636485482690386</v>
      </c>
      <c r="U146" s="29" t="e">
        <v>#N/A</v>
      </c>
      <c r="V146" s="29">
        <v>5.421431498265024</v>
      </c>
      <c r="W146">
        <v>1.08171578196094</v>
      </c>
      <c r="X146" t="s">
        <v>145</v>
      </c>
      <c r="Y146" t="s">
        <v>146</v>
      </c>
      <c r="Z146" t="s">
        <v>147</v>
      </c>
    </row>
    <row r="147" spans="2:26" x14ac:dyDescent="0.25">
      <c r="B147" t="s">
        <v>521</v>
      </c>
      <c r="C147" s="26" t="s">
        <v>522</v>
      </c>
      <c r="D147" s="26">
        <v>5.078523147980403E-2</v>
      </c>
      <c r="E147" s="26">
        <v>7.4528446452368502E-2</v>
      </c>
      <c r="F147" s="26">
        <v>4.8227488566396318E-2</v>
      </c>
      <c r="G147" s="27">
        <v>7.1650070010463751E-2</v>
      </c>
      <c r="H147" s="28">
        <v>10.837085727101773</v>
      </c>
      <c r="I147" s="28">
        <v>17.429227872801551</v>
      </c>
      <c r="J147" s="26">
        <v>22.402439035677556</v>
      </c>
      <c r="K147" s="29">
        <v>0.54152207831862775</v>
      </c>
      <c r="L147" s="26">
        <v>4.3330298750763507</v>
      </c>
      <c r="M147" s="30">
        <v>0.26204959384028925</v>
      </c>
      <c r="N147" s="29" t="e">
        <v>#N/A</v>
      </c>
      <c r="O147" s="31">
        <v>4.9749292498582527</v>
      </c>
      <c r="P147" s="31">
        <v>1461764000</v>
      </c>
      <c r="Q147" s="31">
        <v>1520487000</v>
      </c>
      <c r="R147" s="29">
        <v>585666624</v>
      </c>
      <c r="S147" s="29">
        <v>6.8643060104187335</v>
      </c>
      <c r="T147" s="29">
        <v>15.394245190336175</v>
      </c>
      <c r="U147" s="29">
        <v>23.956120128846543</v>
      </c>
      <c r="V147" s="29">
        <v>11.49486813562674</v>
      </c>
      <c r="W147">
        <v>1.2081928658448122</v>
      </c>
      <c r="X147" t="s">
        <v>77</v>
      </c>
      <c r="Y147" t="s">
        <v>90</v>
      </c>
      <c r="Z147" t="s">
        <v>113</v>
      </c>
    </row>
    <row r="148" spans="2:26" x14ac:dyDescent="0.25">
      <c r="B148" t="s">
        <v>523</v>
      </c>
      <c r="C148" s="26" t="s">
        <v>524</v>
      </c>
      <c r="D148" s="26">
        <v>0.11386308108040463</v>
      </c>
      <c r="E148" s="26">
        <v>0.11009250779580564</v>
      </c>
      <c r="F148" s="26">
        <v>0.11386308108040463</v>
      </c>
      <c r="G148" s="27">
        <v>0.11009250779580564</v>
      </c>
      <c r="H148" s="28">
        <v>18.947234675514011</v>
      </c>
      <c r="I148" s="28">
        <v>11.01553419040669</v>
      </c>
      <c r="J148" s="26">
        <v>13.063199717603647</v>
      </c>
      <c r="K148" s="29">
        <v>0.26606755713540076</v>
      </c>
      <c r="L148" s="26">
        <v>6.1096624482667883</v>
      </c>
      <c r="M148" s="30">
        <v>0.32548087291078259</v>
      </c>
      <c r="N148" s="29" t="e">
        <v>#N/A</v>
      </c>
      <c r="O148" s="31">
        <v>4.2019918162792894E-2</v>
      </c>
      <c r="P148" s="31">
        <v>959811000</v>
      </c>
      <c r="Q148" s="31">
        <v>959811000</v>
      </c>
      <c r="R148" s="29">
        <v>688568640</v>
      </c>
      <c r="S148" s="29">
        <v>15.385046290758595</v>
      </c>
      <c r="T148" s="29">
        <v>17.294187944549769</v>
      </c>
      <c r="U148" s="29">
        <v>-0.879941322915897</v>
      </c>
      <c r="V148" s="29">
        <v>8.3100854574229572</v>
      </c>
      <c r="W148">
        <v>1.2688552153536539</v>
      </c>
      <c r="X148" t="s">
        <v>77</v>
      </c>
      <c r="Y148" t="s">
        <v>90</v>
      </c>
      <c r="Z148" t="s">
        <v>125</v>
      </c>
    </row>
    <row r="149" spans="2:26" x14ac:dyDescent="0.25">
      <c r="B149" t="s">
        <v>525</v>
      </c>
      <c r="C149" s="26" t="s">
        <v>526</v>
      </c>
      <c r="D149" s="26">
        <v>3.9596019989857432E-3</v>
      </c>
      <c r="E149" s="26">
        <v>1.0475363989333084E-2</v>
      </c>
      <c r="F149" s="26">
        <v>3.9596019989857432E-3</v>
      </c>
      <c r="G149" s="27">
        <v>1.0475363989333084E-2</v>
      </c>
      <c r="H149" s="28">
        <v>14.717277345195024</v>
      </c>
      <c r="I149" s="28">
        <v>-113.27035711783658</v>
      </c>
      <c r="J149" s="26">
        <v>3.391988315059165</v>
      </c>
      <c r="K149" s="29">
        <v>0.59415992528625727</v>
      </c>
      <c r="L149" s="26">
        <v>8.9099008798307153</v>
      </c>
      <c r="M149" s="30">
        <v>0.30235485685745533</v>
      </c>
      <c r="N149" s="29" t="e">
        <v>#N/A</v>
      </c>
      <c r="O149" s="31" t="e">
        <v>#N/A</v>
      </c>
      <c r="P149" s="31">
        <v>600361000</v>
      </c>
      <c r="Q149" s="31">
        <v>600361000</v>
      </c>
      <c r="R149" s="29">
        <v>221999712</v>
      </c>
      <c r="S149" s="29">
        <v>12.000441474551732</v>
      </c>
      <c r="T149" s="29">
        <v>12.104752109867581</v>
      </c>
      <c r="U149" s="29">
        <v>-154.2362361262883</v>
      </c>
      <c r="V149" s="29" t="e">
        <v>#N/A</v>
      </c>
      <c r="W149">
        <v>0.68492979213362393</v>
      </c>
      <c r="X149" t="s">
        <v>66</v>
      </c>
      <c r="Y149" t="s">
        <v>86</v>
      </c>
      <c r="Z149" t="s">
        <v>238</v>
      </c>
    </row>
    <row r="150" spans="2:26" x14ac:dyDescent="0.25">
      <c r="B150" t="s">
        <v>527</v>
      </c>
      <c r="C150" s="26" t="s">
        <v>528</v>
      </c>
      <c r="D150" s="26">
        <v>0.1380538789596529</v>
      </c>
      <c r="E150" s="26">
        <v>4.7724580566153897E-2</v>
      </c>
      <c r="F150" s="26">
        <v>0.1380538789596529</v>
      </c>
      <c r="G150" s="27">
        <v>4.7724580566153897E-2</v>
      </c>
      <c r="H150" s="28">
        <v>-0.48875933076956729</v>
      </c>
      <c r="I150" s="28">
        <v>28.73523286358261</v>
      </c>
      <c r="J150" s="26">
        <v>26.337988258544524</v>
      </c>
      <c r="K150" s="29">
        <v>0.25288767679981122</v>
      </c>
      <c r="L150" s="26">
        <v>41.527553083923159</v>
      </c>
      <c r="M150" s="30">
        <v>0.51724806748474128</v>
      </c>
      <c r="N150" s="29" t="e">
        <v>#N/A</v>
      </c>
      <c r="O150" s="31">
        <v>32.346669615727777</v>
      </c>
      <c r="P150" s="31">
        <v>1497614000</v>
      </c>
      <c r="Q150" s="31">
        <v>1497614000</v>
      </c>
      <c r="R150" s="29">
        <v>1464639232</v>
      </c>
      <c r="S150" s="29">
        <v>165.56161375126391</v>
      </c>
      <c r="T150" s="29">
        <v>184.60026606538895</v>
      </c>
      <c r="U150" s="29">
        <v>-2.8068345502300458</v>
      </c>
      <c r="V150" s="29">
        <v>14.509651232492503</v>
      </c>
      <c r="W150">
        <v>1.4645717616373193</v>
      </c>
      <c r="X150" t="s">
        <v>66</v>
      </c>
      <c r="Y150" t="s">
        <v>78</v>
      </c>
      <c r="Z150" t="s">
        <v>121</v>
      </c>
    </row>
    <row r="151" spans="2:26" x14ac:dyDescent="0.25">
      <c r="B151" t="s">
        <v>529</v>
      </c>
      <c r="C151" s="26" t="s">
        <v>530</v>
      </c>
      <c r="D151" s="26" t="e">
        <v>#N/A</v>
      </c>
      <c r="E151" s="26">
        <v>-0.35289969748840017</v>
      </c>
      <c r="F151" s="26">
        <v>-3.0959864612554862</v>
      </c>
      <c r="G151" s="27">
        <v>-0.35289969748840017</v>
      </c>
      <c r="H151" s="28">
        <v>-40.587000106770432</v>
      </c>
      <c r="I151" s="28" t="e">
        <v>#N/A</v>
      </c>
      <c r="J151" s="26">
        <v>-954.04993909866027</v>
      </c>
      <c r="K151" s="29">
        <v>6.2799977256079859E-2</v>
      </c>
      <c r="L151" s="26">
        <v>-0.30424707922155803</v>
      </c>
      <c r="M151" s="30">
        <v>0.65261003207561685</v>
      </c>
      <c r="N151" s="29" t="e">
        <v>#N/A</v>
      </c>
      <c r="O151" s="31" t="e">
        <v>#N/A</v>
      </c>
      <c r="P151" s="31">
        <v>185778000</v>
      </c>
      <c r="Q151" s="31">
        <v>185778000</v>
      </c>
      <c r="R151" s="29">
        <v>561302016</v>
      </c>
      <c r="S151" s="29" t="e">
        <v>#N/A</v>
      </c>
      <c r="T151" s="29" t="e">
        <v>#N/A</v>
      </c>
      <c r="U151" s="29">
        <v>-20.661425880216328</v>
      </c>
      <c r="V151" s="29" t="e">
        <v>#N/A</v>
      </c>
      <c r="W151">
        <v>2.8815658889492513</v>
      </c>
      <c r="X151" t="s">
        <v>69</v>
      </c>
      <c r="Y151" t="s">
        <v>70</v>
      </c>
      <c r="Z151" t="s">
        <v>70</v>
      </c>
    </row>
    <row r="152" spans="2:26" x14ac:dyDescent="0.25">
      <c r="B152" t="s">
        <v>531</v>
      </c>
      <c r="C152" s="26" t="s">
        <v>532</v>
      </c>
      <c r="D152" s="26">
        <v>1.0609764082402238</v>
      </c>
      <c r="E152" s="26">
        <v>1.8631679680457127</v>
      </c>
      <c r="F152" s="26">
        <v>0.3684924359322293</v>
      </c>
      <c r="G152" s="27">
        <v>0.65711532535377304</v>
      </c>
      <c r="H152" s="28">
        <v>53.239123766408227</v>
      </c>
      <c r="I152" s="28">
        <v>27.31290008282317</v>
      </c>
      <c r="J152" s="26">
        <v>35.091791322261564</v>
      </c>
      <c r="K152" s="29">
        <v>-0.15866580728327423</v>
      </c>
      <c r="L152" s="26">
        <v>-0.2306204182963674</v>
      </c>
      <c r="M152" s="30">
        <v>0.65837714682395765</v>
      </c>
      <c r="N152" s="29" t="e">
        <v>#N/A</v>
      </c>
      <c r="O152" s="31">
        <v>14.246028438557579</v>
      </c>
      <c r="P152" s="31">
        <v>72102999.999999985</v>
      </c>
      <c r="Q152" s="31">
        <v>204439000</v>
      </c>
      <c r="R152" s="29">
        <v>1727357184</v>
      </c>
      <c r="S152" s="29">
        <v>8.019754006136262</v>
      </c>
      <c r="T152" s="29">
        <v>8.7789050783493305</v>
      </c>
      <c r="U152" s="29">
        <v>6.9859899919807207</v>
      </c>
      <c r="V152" s="29">
        <v>13.818914223450296</v>
      </c>
      <c r="W152">
        <v>6.6343912701533618</v>
      </c>
      <c r="X152" t="s">
        <v>76</v>
      </c>
      <c r="Y152" t="s">
        <v>82</v>
      </c>
      <c r="Z152" t="s">
        <v>223</v>
      </c>
    </row>
    <row r="153" spans="2:26" x14ac:dyDescent="0.25">
      <c r="B153" t="s">
        <v>533</v>
      </c>
      <c r="C153" s="26" t="s">
        <v>534</v>
      </c>
      <c r="D153" s="26">
        <v>6.1849874647289894E-2</v>
      </c>
      <c r="E153" s="26">
        <v>0.1872869849890241</v>
      </c>
      <c r="F153" s="26">
        <v>6.1849874647289894E-2</v>
      </c>
      <c r="G153" s="27">
        <v>0.1872869849890241</v>
      </c>
      <c r="H153" s="28" t="e">
        <v>#N/A</v>
      </c>
      <c r="I153" s="28">
        <v>5.7408367135754617</v>
      </c>
      <c r="J153" s="26">
        <v>10.864939830647176</v>
      </c>
      <c r="K153" s="29" t="e">
        <v>#N/A</v>
      </c>
      <c r="L153" s="26" t="e">
        <v>#N/A</v>
      </c>
      <c r="M153" s="30">
        <v>0.62852025369017639</v>
      </c>
      <c r="N153" s="29" t="e">
        <v>#N/A</v>
      </c>
      <c r="O153" s="31" t="e">
        <v>#N/A</v>
      </c>
      <c r="P153" s="31">
        <v>788090000</v>
      </c>
      <c r="Q153" s="31">
        <v>788090000</v>
      </c>
      <c r="R153" s="29">
        <v>418245728</v>
      </c>
      <c r="S153" s="29" t="e">
        <v>#N/A</v>
      </c>
      <c r="T153" s="29" t="e">
        <v>#N/A</v>
      </c>
      <c r="U153" s="29" t="e">
        <v>#N/A</v>
      </c>
      <c r="V153" s="29" t="e">
        <v>#N/A</v>
      </c>
      <c r="W153">
        <v>0.61627349267463227</v>
      </c>
      <c r="X153" t="s">
        <v>65</v>
      </c>
      <c r="Y153" t="s">
        <v>156</v>
      </c>
      <c r="Z153" t="s">
        <v>244</v>
      </c>
    </row>
    <row r="154" spans="2:26" x14ac:dyDescent="0.25">
      <c r="B154" t="s">
        <v>535</v>
      </c>
      <c r="C154" s="26" t="s">
        <v>536</v>
      </c>
      <c r="D154" s="26">
        <v>8.1013895851550541E-2</v>
      </c>
      <c r="E154" s="26">
        <v>4.1916967027099183E-2</v>
      </c>
      <c r="F154" s="26">
        <v>7.8848897282650376E-2</v>
      </c>
      <c r="G154" s="27">
        <v>4.0673867831518648E-2</v>
      </c>
      <c r="H154" s="28" t="e">
        <v>#N/A</v>
      </c>
      <c r="I154" s="28">
        <v>12.506678497624403</v>
      </c>
      <c r="J154" s="26">
        <v>10.910637473893862</v>
      </c>
      <c r="K154" s="29">
        <v>0.31366447201710673</v>
      </c>
      <c r="L154" s="26" t="e">
        <v>#N/A</v>
      </c>
      <c r="M154" s="30">
        <v>0.36076367970243867</v>
      </c>
      <c r="N154" s="29" t="e">
        <v>#N/A</v>
      </c>
      <c r="O154" s="31" t="e">
        <v>#N/A</v>
      </c>
      <c r="P154" s="31">
        <v>539352000</v>
      </c>
      <c r="Q154" s="31">
        <v>555836000</v>
      </c>
      <c r="R154" s="29">
        <v>243147824</v>
      </c>
      <c r="S154" s="29" t="e">
        <v>#N/A</v>
      </c>
      <c r="T154" s="29" t="e">
        <v>#N/A</v>
      </c>
      <c r="U154" s="29" t="e">
        <v>#N/A</v>
      </c>
      <c r="V154" s="29" t="e">
        <v>#N/A</v>
      </c>
      <c r="W154">
        <v>0.85802965367547535</v>
      </c>
      <c r="X154" t="s">
        <v>65</v>
      </c>
      <c r="Y154" t="s">
        <v>184</v>
      </c>
      <c r="Z154" t="s">
        <v>185</v>
      </c>
    </row>
    <row r="155" spans="2:26" x14ac:dyDescent="0.25">
      <c r="B155" t="s">
        <v>537</v>
      </c>
      <c r="C155" s="26" t="s">
        <v>538</v>
      </c>
      <c r="D155" s="26">
        <v>-1.0737829986465566E-2</v>
      </c>
      <c r="E155" s="26">
        <v>-1.1034526947861745E-2</v>
      </c>
      <c r="F155" s="26">
        <v>-1.0737829986465566E-2</v>
      </c>
      <c r="G155" s="27">
        <v>-1.1034526947861745E-2</v>
      </c>
      <c r="H155" s="28" t="e">
        <v>#N/A</v>
      </c>
      <c r="I155" s="28">
        <v>-110.64150075658108</v>
      </c>
      <c r="J155" s="26">
        <v>-324.43502824858757</v>
      </c>
      <c r="K155" s="29" t="e">
        <v>#N/A</v>
      </c>
      <c r="L155" s="26" t="e">
        <v>#N/A</v>
      </c>
      <c r="M155" s="30">
        <v>0.99781078042719362</v>
      </c>
      <c r="N155" s="29" t="e">
        <v>#N/A</v>
      </c>
      <c r="O155" s="31" t="e">
        <v>#N/A</v>
      </c>
      <c r="P155" s="31">
        <v>218496000</v>
      </c>
      <c r="Q155" s="31">
        <v>218496000</v>
      </c>
      <c r="R155" s="29">
        <v>786235968</v>
      </c>
      <c r="S155" s="29" t="e">
        <v>#N/A</v>
      </c>
      <c r="T155" s="29" t="e">
        <v>#N/A</v>
      </c>
      <c r="U155" s="29" t="e">
        <v>#N/A</v>
      </c>
      <c r="V155" s="29" t="e">
        <v>#N/A</v>
      </c>
      <c r="W155">
        <v>3.8742658918406074</v>
      </c>
      <c r="X155" t="s">
        <v>66</v>
      </c>
      <c r="Y155" t="s">
        <v>84</v>
      </c>
      <c r="Z155" t="s">
        <v>151</v>
      </c>
    </row>
    <row r="156" spans="2:26" x14ac:dyDescent="0.25">
      <c r="B156" t="s">
        <v>539</v>
      </c>
      <c r="C156" s="26" t="s">
        <v>540</v>
      </c>
      <c r="D156" s="26">
        <v>0.6242859255992157</v>
      </c>
      <c r="E156" s="26">
        <v>0.55684376657235313</v>
      </c>
      <c r="F156" s="26">
        <v>0.22435064709853489</v>
      </c>
      <c r="G156" s="27">
        <v>0.22947138379800175</v>
      </c>
      <c r="H156" s="28">
        <v>21.567890306291844</v>
      </c>
      <c r="I156" s="28">
        <v>10.214618314742276</v>
      </c>
      <c r="J156" s="26">
        <v>10.977255280631773</v>
      </c>
      <c r="K156" s="29">
        <v>0.2717030369640846</v>
      </c>
      <c r="L156" s="26">
        <v>1.4489372122636892</v>
      </c>
      <c r="M156" s="30">
        <v>0.26431754595458701</v>
      </c>
      <c r="N156" s="29" t="e">
        <v>#N/A</v>
      </c>
      <c r="O156" s="31">
        <v>10.345609166251737</v>
      </c>
      <c r="P156" s="31">
        <v>629814000</v>
      </c>
      <c r="Q156" s="31">
        <v>1528330000</v>
      </c>
      <c r="R156" s="29">
        <v>4891200000</v>
      </c>
      <c r="S156" s="29">
        <v>10.251907853142058</v>
      </c>
      <c r="T156" s="29">
        <v>15.419465873781206</v>
      </c>
      <c r="U156" s="29">
        <v>7.5593105986261042</v>
      </c>
      <c r="V156" s="29">
        <v>22.844350691907813</v>
      </c>
      <c r="W156">
        <v>5.0051119540932998</v>
      </c>
      <c r="X156" t="s">
        <v>91</v>
      </c>
      <c r="Y156" t="s">
        <v>92</v>
      </c>
      <c r="Z156" t="s">
        <v>191</v>
      </c>
    </row>
    <row r="157" spans="2:26" x14ac:dyDescent="0.25">
      <c r="B157" t="s">
        <v>541</v>
      </c>
      <c r="C157" s="26" t="s">
        <v>542</v>
      </c>
      <c r="D157" s="26">
        <v>2.3984317399264182E-2</v>
      </c>
      <c r="E157" s="26">
        <v>5.7555064383817724E-2</v>
      </c>
      <c r="F157" s="26">
        <v>2.3984317399264182E-2</v>
      </c>
      <c r="G157" s="27">
        <v>5.7555064383817724E-2</v>
      </c>
      <c r="H157" s="28" t="e">
        <v>#N/A</v>
      </c>
      <c r="I157" s="28">
        <v>7.0932887607142785</v>
      </c>
      <c r="J157" s="26">
        <v>10.198085794301818</v>
      </c>
      <c r="K157" s="29" t="e">
        <v>#N/A</v>
      </c>
      <c r="L157" s="26" t="e">
        <v>#N/A</v>
      </c>
      <c r="M157" s="30">
        <v>0.59455832021124178</v>
      </c>
      <c r="N157" s="29" t="e">
        <v>#N/A</v>
      </c>
      <c r="O157" s="31" t="e">
        <v>#N/A</v>
      </c>
      <c r="P157" s="31">
        <v>363756000</v>
      </c>
      <c r="Q157" s="31">
        <v>363756000</v>
      </c>
      <c r="R157" s="29">
        <v>433260608</v>
      </c>
      <c r="S157" s="29" t="e">
        <v>#N/A</v>
      </c>
      <c r="T157" s="29" t="e">
        <v>#N/A</v>
      </c>
      <c r="U157" s="29" t="e">
        <v>#N/A</v>
      </c>
      <c r="V157" s="29" t="e">
        <v>#N/A</v>
      </c>
      <c r="W157">
        <v>1.1193111244562832</v>
      </c>
      <c r="X157" t="s">
        <v>76</v>
      </c>
      <c r="Y157" t="s">
        <v>162</v>
      </c>
      <c r="Z157" t="s">
        <v>163</v>
      </c>
    </row>
    <row r="158" spans="2:26" x14ac:dyDescent="0.25">
      <c r="B158" t="s">
        <v>543</v>
      </c>
      <c r="C158" s="26" t="s">
        <v>544</v>
      </c>
      <c r="D158" s="26">
        <v>-6.7261354010761359E-2</v>
      </c>
      <c r="E158" s="26">
        <v>7.219271283025383E-2</v>
      </c>
      <c r="F158" s="26">
        <v>-6.7261354010761359E-2</v>
      </c>
      <c r="G158" s="27">
        <v>7.219271283025383E-2</v>
      </c>
      <c r="H158" s="28" t="e">
        <v>#N/A</v>
      </c>
      <c r="I158" s="28">
        <v>1.5671256885860729</v>
      </c>
      <c r="J158" s="26">
        <v>15.837478226407089</v>
      </c>
      <c r="K158" s="29">
        <v>0.50992062365774515</v>
      </c>
      <c r="L158" s="26">
        <v>3.4287341015212496</v>
      </c>
      <c r="M158" s="30">
        <v>-9.5993970299309048E-2</v>
      </c>
      <c r="N158" s="29" t="e">
        <v>#N/A</v>
      </c>
      <c r="O158" s="31">
        <v>30.161960948335839</v>
      </c>
      <c r="P158" s="31">
        <v>1447750000.0000002</v>
      </c>
      <c r="Q158" s="31">
        <v>1447750000.0000002</v>
      </c>
      <c r="R158" s="29">
        <v>986354112</v>
      </c>
      <c r="S158" s="29">
        <v>3.93127719652407</v>
      </c>
      <c r="T158" s="29">
        <v>7.5101284463132654</v>
      </c>
      <c r="U158" s="29">
        <v>94.873542319001373</v>
      </c>
      <c r="V158" s="29">
        <v>6.1962458124177893</v>
      </c>
      <c r="W158" t="e">
        <v>#N/A</v>
      </c>
      <c r="X158" t="s">
        <v>76</v>
      </c>
      <c r="Y158" t="s">
        <v>234</v>
      </c>
      <c r="Z158" t="s">
        <v>234</v>
      </c>
    </row>
    <row r="159" spans="2:26" x14ac:dyDescent="0.25">
      <c r="B159" t="s">
        <v>545</v>
      </c>
      <c r="C159" s="26" t="s">
        <v>546</v>
      </c>
      <c r="D159" s="26">
        <v>0.30946624191710248</v>
      </c>
      <c r="E159" s="26">
        <v>0.32369013179042111</v>
      </c>
      <c r="F159" s="26">
        <v>0.27951414630213611</v>
      </c>
      <c r="G159" s="27">
        <v>0.29420952680608153</v>
      </c>
      <c r="H159" s="28" t="e">
        <v>#N/A</v>
      </c>
      <c r="I159" s="28">
        <v>28.313962598173077</v>
      </c>
      <c r="J159" s="26">
        <v>28.583417332801989</v>
      </c>
      <c r="K159" s="29">
        <v>3.7579177594516039E-2</v>
      </c>
      <c r="L159" s="26" t="e">
        <v>#N/A</v>
      </c>
      <c r="M159" s="30">
        <v>0.7526571108720943</v>
      </c>
      <c r="N159" s="29" t="e">
        <v>#N/A</v>
      </c>
      <c r="O159" s="31" t="e">
        <v>#N/A</v>
      </c>
      <c r="P159" s="31">
        <v>161772000</v>
      </c>
      <c r="Q159" s="31">
        <v>177982000</v>
      </c>
      <c r="R159" s="29">
        <v>441535648</v>
      </c>
      <c r="S159" s="29" t="e">
        <v>#N/A</v>
      </c>
      <c r="T159" s="29" t="e">
        <v>#N/A</v>
      </c>
      <c r="U159" s="29" t="e">
        <v>#N/A</v>
      </c>
      <c r="V159" s="29" t="e">
        <v>#N/A</v>
      </c>
      <c r="W159">
        <v>2.5969606635402811</v>
      </c>
      <c r="X159" t="s">
        <v>77</v>
      </c>
      <c r="Y159" t="s">
        <v>83</v>
      </c>
      <c r="Z159" t="s">
        <v>194</v>
      </c>
    </row>
    <row r="160" spans="2:26" x14ac:dyDescent="0.25">
      <c r="B160" t="s">
        <v>547</v>
      </c>
      <c r="C160" s="26" t="s">
        <v>548</v>
      </c>
      <c r="D160" s="26">
        <v>9.8855066534136143E-2</v>
      </c>
      <c r="E160" s="26">
        <v>0.11424530525654121</v>
      </c>
      <c r="F160" s="26">
        <v>9.0250456946196933E-2</v>
      </c>
      <c r="G160" s="27">
        <v>0.10582241630276565</v>
      </c>
      <c r="H160" s="28">
        <v>4.4096728307254622</v>
      </c>
      <c r="I160" s="28" t="e">
        <v>#N/A</v>
      </c>
      <c r="J160" s="26" t="e">
        <v>#N/A</v>
      </c>
      <c r="K160" s="29">
        <v>8.4241837592646238E-2</v>
      </c>
      <c r="L160" s="26" t="e">
        <v>#N/A</v>
      </c>
      <c r="M160" s="30">
        <v>5.9622858586000312E-2</v>
      </c>
      <c r="N160" s="29" t="e">
        <v>#N/A</v>
      </c>
      <c r="O160" s="31">
        <v>12.106647877182722</v>
      </c>
      <c r="P160" s="31">
        <v>12727000000</v>
      </c>
      <c r="Q160" s="31">
        <v>13740000000</v>
      </c>
      <c r="R160" s="29">
        <v>6176755712</v>
      </c>
      <c r="S160" s="29" t="e">
        <v>#N/A</v>
      </c>
      <c r="T160" s="29">
        <v>17.608880419010671</v>
      </c>
      <c r="U160" s="29">
        <v>90.371066305171695</v>
      </c>
      <c r="V160" s="29">
        <v>24.365626460905148</v>
      </c>
      <c r="W160">
        <v>0.73421506809568915</v>
      </c>
      <c r="X160" t="s">
        <v>66</v>
      </c>
      <c r="Y160" t="s">
        <v>72</v>
      </c>
      <c r="Z160" t="s">
        <v>109</v>
      </c>
    </row>
    <row r="161" spans="2:26" x14ac:dyDescent="0.25">
      <c r="B161" t="s">
        <v>549</v>
      </c>
      <c r="C161" s="26" t="s">
        <v>550</v>
      </c>
      <c r="D161" s="26">
        <v>0.32466779320937289</v>
      </c>
      <c r="E161" s="26">
        <v>0.23788423314830384</v>
      </c>
      <c r="F161" s="26">
        <v>0.31604166912769499</v>
      </c>
      <c r="G161" s="27">
        <v>0.22737994821947916</v>
      </c>
      <c r="H161" s="28">
        <v>22.240336968568631</v>
      </c>
      <c r="I161" s="28">
        <v>22.296369582188053</v>
      </c>
      <c r="J161" s="26">
        <v>23.028256820766291</v>
      </c>
      <c r="K161" s="29">
        <v>0.35282510610334261</v>
      </c>
      <c r="L161" s="26">
        <v>2.3180679102015778</v>
      </c>
      <c r="M161" s="30">
        <v>0.38582887425924595</v>
      </c>
      <c r="N161" s="29" t="e">
        <v>#N/A</v>
      </c>
      <c r="O161" s="31">
        <v>21.751898091777829</v>
      </c>
      <c r="P161" s="31">
        <v>1436888000</v>
      </c>
      <c r="Q161" s="31">
        <v>1503268000</v>
      </c>
      <c r="R161" s="29">
        <v>4527183360</v>
      </c>
      <c r="S161" s="29">
        <v>15.635708589187844</v>
      </c>
      <c r="T161" s="29">
        <v>20.344571348963999</v>
      </c>
      <c r="U161" s="29">
        <v>-2.5864867995980618</v>
      </c>
      <c r="V161" s="29">
        <v>21.897970401426214</v>
      </c>
      <c r="W161">
        <v>5.560231244517948</v>
      </c>
      <c r="X161" t="s">
        <v>76</v>
      </c>
      <c r="Y161" t="s">
        <v>209</v>
      </c>
      <c r="Z161" t="s">
        <v>211</v>
      </c>
    </row>
    <row r="162" spans="2:26" x14ac:dyDescent="0.25">
      <c r="B162" t="s">
        <v>551</v>
      </c>
      <c r="C162" s="26" t="s">
        <v>552</v>
      </c>
      <c r="D162" s="26">
        <v>0.1672145650351087</v>
      </c>
      <c r="E162" s="26">
        <v>0.14965724761438928</v>
      </c>
      <c r="F162" s="26">
        <v>9.7924755560043791E-2</v>
      </c>
      <c r="G162" s="27">
        <v>9.0964811284778457E-2</v>
      </c>
      <c r="H162" s="28">
        <v>4.9300979162157539</v>
      </c>
      <c r="I162" s="28">
        <v>11.134657395062073</v>
      </c>
      <c r="J162" s="26">
        <v>10.897792979795696</v>
      </c>
      <c r="K162" s="29">
        <v>0.17701192166673227</v>
      </c>
      <c r="L162" s="26">
        <v>2.4108100341458472</v>
      </c>
      <c r="M162" s="30">
        <v>0.58802887806429305</v>
      </c>
      <c r="N162" s="29" t="e">
        <v>#N/A</v>
      </c>
      <c r="O162" s="31">
        <v>10.203163029541576</v>
      </c>
      <c r="P162" s="31">
        <v>2328649000</v>
      </c>
      <c r="Q162" s="31">
        <v>3831143000</v>
      </c>
      <c r="R162" s="29">
        <v>33722609664</v>
      </c>
      <c r="S162" s="29">
        <v>17.453683099496264</v>
      </c>
      <c r="T162" s="29">
        <v>26.527237863279485</v>
      </c>
      <c r="U162" s="29">
        <v>-0.84163525886514168</v>
      </c>
      <c r="V162" s="29">
        <v>34.623829618223063</v>
      </c>
      <c r="W162">
        <v>3.1788008843078797</v>
      </c>
      <c r="X162" t="s">
        <v>77</v>
      </c>
      <c r="Y162" t="s">
        <v>181</v>
      </c>
      <c r="Z162" t="s">
        <v>242</v>
      </c>
    </row>
    <row r="163" spans="2:26" x14ac:dyDescent="0.25">
      <c r="B163" t="s">
        <v>553</v>
      </c>
      <c r="C163" s="26" t="s">
        <v>554</v>
      </c>
      <c r="D163" s="26">
        <v>0.4510896035054473</v>
      </c>
      <c r="E163" s="26">
        <v>0.54980756373886486</v>
      </c>
      <c r="F163" s="26">
        <v>0.20046802516649712</v>
      </c>
      <c r="G163" s="27">
        <v>0.22590715889897359</v>
      </c>
      <c r="H163" s="28">
        <v>8.1403972115766461</v>
      </c>
      <c r="I163" s="28">
        <v>16.192102662720345</v>
      </c>
      <c r="J163" s="26">
        <v>14.569895129077336</v>
      </c>
      <c r="K163" s="29">
        <v>2.6090260821758322E-2</v>
      </c>
      <c r="L163" s="26">
        <v>0.1232400641596863</v>
      </c>
      <c r="M163" s="30">
        <v>1.0516066800438693</v>
      </c>
      <c r="N163" s="29" t="e">
        <v>#N/A</v>
      </c>
      <c r="O163" s="31">
        <v>16.23409462799146</v>
      </c>
      <c r="P163" s="31">
        <v>110686000</v>
      </c>
      <c r="Q163" s="31">
        <v>269385000</v>
      </c>
      <c r="R163" s="29">
        <v>579298048</v>
      </c>
      <c r="S163" s="29">
        <v>7.8183421340733759</v>
      </c>
      <c r="T163" s="29">
        <v>9.9863747642276426</v>
      </c>
      <c r="U163" s="29">
        <v>12.261563843557092</v>
      </c>
      <c r="V163" s="29">
        <v>13.581795789643307</v>
      </c>
      <c r="W163">
        <v>2.2074611225216918</v>
      </c>
      <c r="X163" t="s">
        <v>91</v>
      </c>
      <c r="Y163" t="s">
        <v>94</v>
      </c>
      <c r="Z163" t="s">
        <v>212</v>
      </c>
    </row>
    <row r="164" spans="2:26" x14ac:dyDescent="0.25">
      <c r="B164" t="s">
        <v>555</v>
      </c>
      <c r="C164" s="26" t="s">
        <v>556</v>
      </c>
      <c r="D164" s="26">
        <v>-3.8238346898097548</v>
      </c>
      <c r="E164" s="26">
        <v>0.73088142633777509</v>
      </c>
      <c r="F164" s="26">
        <v>0.38988498057071652</v>
      </c>
      <c r="G164" s="27">
        <v>0.3894865130392608</v>
      </c>
      <c r="H164" s="28">
        <v>3.5533014536467378</v>
      </c>
      <c r="I164" s="28">
        <v>17.238876589128488</v>
      </c>
      <c r="J164" s="26">
        <v>15.383161330895369</v>
      </c>
      <c r="K164" s="29">
        <v>-0.37171777017163782</v>
      </c>
      <c r="L164" s="26">
        <v>-5.3148091447234131</v>
      </c>
      <c r="M164" s="30">
        <v>1.2208829148085087</v>
      </c>
      <c r="N164" s="29" t="e">
        <v>#N/A</v>
      </c>
      <c r="O164" s="31">
        <v>9.4342746257198993</v>
      </c>
      <c r="P164" s="31">
        <v>42851000</v>
      </c>
      <c r="Q164" s="31">
        <v>80411000</v>
      </c>
      <c r="R164" s="29">
        <v>321535776</v>
      </c>
      <c r="S164" s="29">
        <v>11.093426005307206</v>
      </c>
      <c r="T164" s="29">
        <v>12.973667701121986</v>
      </c>
      <c r="U164" s="29">
        <v>1.1780959640397839</v>
      </c>
      <c r="V164" s="29">
        <v>24.071428571428569</v>
      </c>
      <c r="W164">
        <v>1.7174772783018364</v>
      </c>
      <c r="X164" t="s">
        <v>71</v>
      </c>
      <c r="Y164" t="s">
        <v>75</v>
      </c>
      <c r="Z164" t="s">
        <v>213</v>
      </c>
    </row>
    <row r="165" spans="2:26" x14ac:dyDescent="0.25">
      <c r="B165" t="s">
        <v>557</v>
      </c>
      <c r="C165" s="26" t="s">
        <v>558</v>
      </c>
      <c r="D165" s="26">
        <v>0.14658840292489156</v>
      </c>
      <c r="E165" s="26">
        <v>0.30111883926654737</v>
      </c>
      <c r="F165" s="26">
        <v>0.13376921724037913</v>
      </c>
      <c r="G165" s="27">
        <v>0.27460889553410517</v>
      </c>
      <c r="H165" s="28">
        <v>45.018370691281753</v>
      </c>
      <c r="I165" s="28">
        <v>16.075465505658897</v>
      </c>
      <c r="J165" s="26">
        <v>25.117768268401672</v>
      </c>
      <c r="K165" s="29">
        <v>0.49078075914020863</v>
      </c>
      <c r="L165" s="26">
        <v>3.6275256327918259</v>
      </c>
      <c r="M165" s="30">
        <v>0.29940979083969871</v>
      </c>
      <c r="N165" s="29" t="e">
        <v>#N/A</v>
      </c>
      <c r="O165" s="31">
        <v>11.933552058736201</v>
      </c>
      <c r="P165" s="31">
        <v>3712687000</v>
      </c>
      <c r="Q165" s="31">
        <v>4071099000</v>
      </c>
      <c r="R165" s="29">
        <v>2109227136</v>
      </c>
      <c r="S165" s="29">
        <v>6.5284075838800701</v>
      </c>
      <c r="T165" s="29">
        <v>8.3497273494020519</v>
      </c>
      <c r="U165" s="29">
        <v>36.51062452479276</v>
      </c>
      <c r="V165" s="29">
        <v>3.8362599359921696</v>
      </c>
      <c r="W165">
        <v>1.4793324827382728</v>
      </c>
      <c r="X165" t="s">
        <v>76</v>
      </c>
      <c r="Y165" t="s">
        <v>82</v>
      </c>
      <c r="Z165" t="s">
        <v>219</v>
      </c>
    </row>
    <row r="166" spans="2:26" x14ac:dyDescent="0.25">
      <c r="B166" t="s">
        <v>559</v>
      </c>
      <c r="C166" s="26" t="s">
        <v>560</v>
      </c>
      <c r="D166" s="26">
        <v>4.3578125450250263E-2</v>
      </c>
      <c r="E166" s="26">
        <v>0.11313755795981453</v>
      </c>
      <c r="F166" s="26">
        <v>3.0282128115523482E-2</v>
      </c>
      <c r="G166" s="27">
        <v>7.6281784076698625E-2</v>
      </c>
      <c r="H166" s="28">
        <v>6.6282420749279538</v>
      </c>
      <c r="I166" s="28">
        <v>24.647477566633484</v>
      </c>
      <c r="J166" s="26">
        <v>27.813953488372093</v>
      </c>
      <c r="K166" s="29">
        <v>0.4951968355622528</v>
      </c>
      <c r="L166" s="26">
        <v>2.227966101694915</v>
      </c>
      <c r="M166" s="30">
        <v>0.3149010477299185</v>
      </c>
      <c r="N166" s="29" t="e">
        <v>#N/A</v>
      </c>
      <c r="O166" s="31">
        <v>2.6948526922400484</v>
      </c>
      <c r="P166" s="31">
        <v>3235000000</v>
      </c>
      <c r="Q166" s="31">
        <v>4798000000</v>
      </c>
      <c r="R166" s="29">
        <v>1970815232</v>
      </c>
      <c r="S166" s="29">
        <v>3.8981485016949153</v>
      </c>
      <c r="T166" s="29">
        <v>13.854865156626506</v>
      </c>
      <c r="U166" s="29">
        <v>33.945343487176785</v>
      </c>
      <c r="V166" s="29">
        <v>14.332475367173041</v>
      </c>
      <c r="W166">
        <v>0.92063692791127549</v>
      </c>
      <c r="X166" t="s">
        <v>71</v>
      </c>
      <c r="Y166" t="s">
        <v>75</v>
      </c>
      <c r="Z166" t="s">
        <v>150</v>
      </c>
    </row>
    <row r="167" spans="2:26" x14ac:dyDescent="0.25">
      <c r="B167" t="s">
        <v>561</v>
      </c>
      <c r="C167" s="26" t="s">
        <v>562</v>
      </c>
      <c r="D167" s="26">
        <v>0.51080065194874691</v>
      </c>
      <c r="E167" s="26">
        <v>0.44320332383459143</v>
      </c>
      <c r="F167" s="26">
        <v>0.51080065194874691</v>
      </c>
      <c r="G167" s="27">
        <v>0.44320332383459143</v>
      </c>
      <c r="H167" s="28">
        <v>20.485620206790191</v>
      </c>
      <c r="I167" s="28">
        <v>21.404421186448836</v>
      </c>
      <c r="J167" s="26">
        <v>27.132925533406667</v>
      </c>
      <c r="K167" s="29">
        <v>-5.1437597934774051E-2</v>
      </c>
      <c r="L167" s="26">
        <v>-0.42556689011949889</v>
      </c>
      <c r="M167" s="30">
        <v>0.60086436245166674</v>
      </c>
      <c r="N167" s="29" t="e">
        <v>#N/A</v>
      </c>
      <c r="O167" s="31">
        <v>25.751659283860523</v>
      </c>
      <c r="P167" s="31">
        <v>183883999.99999997</v>
      </c>
      <c r="Q167" s="31">
        <v>183883999.99999997</v>
      </c>
      <c r="R167" s="29">
        <v>2566430720</v>
      </c>
      <c r="S167" s="29">
        <v>29.494931157097056</v>
      </c>
      <c r="T167" s="29">
        <v>36.026026628693486</v>
      </c>
      <c r="U167" s="29" t="e">
        <v>#N/A</v>
      </c>
      <c r="V167" s="29">
        <v>35.425925925925924</v>
      </c>
      <c r="W167">
        <v>6.0187350487210578</v>
      </c>
      <c r="X167" t="s">
        <v>77</v>
      </c>
      <c r="Y167" t="s">
        <v>111</v>
      </c>
      <c r="Z167" t="s">
        <v>193</v>
      </c>
    </row>
    <row r="168" spans="2:26" x14ac:dyDescent="0.25">
      <c r="B168" t="s">
        <v>563</v>
      </c>
      <c r="C168" s="26" t="s">
        <v>564</v>
      </c>
      <c r="D168" s="26">
        <v>0.20737664148463444</v>
      </c>
      <c r="E168" s="26">
        <v>0.20171502199315769</v>
      </c>
      <c r="F168" s="26">
        <v>0.20668515786156569</v>
      </c>
      <c r="G168" s="27">
        <v>0.19825760387781394</v>
      </c>
      <c r="H168" s="28">
        <v>16.43844623806158</v>
      </c>
      <c r="I168" s="28">
        <v>14.901862010822423</v>
      </c>
      <c r="J168" s="26">
        <v>20.857200962613973</v>
      </c>
      <c r="K168" s="29">
        <v>-0.20560937543289343</v>
      </c>
      <c r="L168" s="26">
        <v>-1.6411617278490342</v>
      </c>
      <c r="M168" s="30">
        <v>0.67863167931932378</v>
      </c>
      <c r="N168" s="29" t="e">
        <v>#N/A</v>
      </c>
      <c r="O168" s="31">
        <v>7.5023286255868609</v>
      </c>
      <c r="P168" s="31">
        <v>45014000</v>
      </c>
      <c r="Q168" s="31">
        <v>45799000</v>
      </c>
      <c r="R168" s="29">
        <v>485332384</v>
      </c>
      <c r="S168" s="29">
        <v>7.7973262568185167</v>
      </c>
      <c r="T168" s="29">
        <v>10.304776229907452</v>
      </c>
      <c r="U168" s="29">
        <v>-2.2508146668269466</v>
      </c>
      <c r="V168" s="29">
        <v>12.507060342950178</v>
      </c>
      <c r="W168">
        <v>1.7605121781645654</v>
      </c>
      <c r="X168" t="s">
        <v>77</v>
      </c>
      <c r="Y168" t="s">
        <v>199</v>
      </c>
      <c r="Z168" t="s">
        <v>205</v>
      </c>
    </row>
    <row r="169" spans="2:26" x14ac:dyDescent="0.25">
      <c r="B169" t="s">
        <v>565</v>
      </c>
      <c r="C169" s="26" t="s">
        <v>566</v>
      </c>
      <c r="D169" s="26">
        <v>5.2012113031147979E-2</v>
      </c>
      <c r="E169" s="26">
        <v>5.5230076317060124E-2</v>
      </c>
      <c r="F169" s="26">
        <v>5.2012113031147979E-2</v>
      </c>
      <c r="G169" s="27">
        <v>5.5230076317060124E-2</v>
      </c>
      <c r="H169" s="28">
        <v>50.613805062093896</v>
      </c>
      <c r="I169" s="28">
        <v>51.375467060289395</v>
      </c>
      <c r="J169" s="26">
        <v>74.283169004514619</v>
      </c>
      <c r="K169" s="29">
        <v>0.25872613368649028</v>
      </c>
      <c r="L169" s="26">
        <v>2.0171587605370425</v>
      </c>
      <c r="M169" s="30">
        <v>0.36092597806386151</v>
      </c>
      <c r="N169" s="29" t="e">
        <v>#N/A</v>
      </c>
      <c r="O169" s="31">
        <v>-3.8016757377047723</v>
      </c>
      <c r="P169" s="31">
        <v>884337000</v>
      </c>
      <c r="Q169" s="31">
        <v>884337000</v>
      </c>
      <c r="R169" s="29">
        <v>706732416</v>
      </c>
      <c r="S169" s="29">
        <v>4.5080513082733127</v>
      </c>
      <c r="T169" s="29">
        <v>4.5134748104890168</v>
      </c>
      <c r="U169" s="29">
        <v>-16.511482614659069</v>
      </c>
      <c r="V169" s="29">
        <v>9.8608021300190245</v>
      </c>
      <c r="W169">
        <v>0.85754822162565392</v>
      </c>
      <c r="X169" t="s">
        <v>77</v>
      </c>
      <c r="Y169" t="s">
        <v>83</v>
      </c>
      <c r="Z169" t="s">
        <v>215</v>
      </c>
    </row>
    <row r="170" spans="2:26" x14ac:dyDescent="0.25">
      <c r="B170" t="s">
        <v>567</v>
      </c>
      <c r="C170" s="26" t="s">
        <v>568</v>
      </c>
      <c r="D170" s="26">
        <v>0.17029142385233526</v>
      </c>
      <c r="E170" s="26">
        <v>0.23755870434179213</v>
      </c>
      <c r="F170" s="26">
        <v>0.16953410531331761</v>
      </c>
      <c r="G170" s="27">
        <v>0.23657901319515423</v>
      </c>
      <c r="H170" s="28">
        <v>20.192740941357933</v>
      </c>
      <c r="I170" s="28">
        <v>16.928711190938269</v>
      </c>
      <c r="J170" s="26">
        <v>21.484111768255591</v>
      </c>
      <c r="K170" s="29">
        <v>0.25981106479402361</v>
      </c>
      <c r="L170" s="26">
        <v>1.9991504401938578</v>
      </c>
      <c r="M170" s="30">
        <v>0.43459461167322117</v>
      </c>
      <c r="N170" s="29" t="e">
        <v>#N/A</v>
      </c>
      <c r="O170" s="31">
        <v>6.9712226548608296</v>
      </c>
      <c r="P170" s="31">
        <v>1341681000</v>
      </c>
      <c r="Q170" s="31">
        <v>1347237000</v>
      </c>
      <c r="R170" s="29">
        <v>1454638464</v>
      </c>
      <c r="S170" s="29">
        <v>7.2135064380143961</v>
      </c>
      <c r="T170" s="29">
        <v>8.3149286779745051</v>
      </c>
      <c r="U170" s="29">
        <v>6.3678365650586839</v>
      </c>
      <c r="V170" s="29">
        <v>8.8873049736469198</v>
      </c>
      <c r="W170">
        <v>1.5699531933910522</v>
      </c>
      <c r="X170" t="s">
        <v>65</v>
      </c>
      <c r="Y170" t="s">
        <v>149</v>
      </c>
      <c r="Z170" t="s">
        <v>164</v>
      </c>
    </row>
    <row r="171" spans="2:26" x14ac:dyDescent="0.25">
      <c r="B171" t="s">
        <v>569</v>
      </c>
      <c r="C171" s="26" t="s">
        <v>570</v>
      </c>
      <c r="D171" s="26">
        <v>0.12834452369611485</v>
      </c>
      <c r="E171" s="26">
        <v>7.1994678477849973E-4</v>
      </c>
      <c r="F171" s="26">
        <v>0.12834452369611485</v>
      </c>
      <c r="G171" s="27">
        <v>7.1994678477849973E-4</v>
      </c>
      <c r="H171" s="28">
        <v>-3.4869778334883894</v>
      </c>
      <c r="I171" s="28">
        <v>12.477252670597114</v>
      </c>
      <c r="J171" s="26">
        <v>4.2064012549532821</v>
      </c>
      <c r="K171" s="29">
        <v>0.27287034891976114</v>
      </c>
      <c r="L171" s="26">
        <v>4.1108734322577742</v>
      </c>
      <c r="M171" s="30">
        <v>0.44532593993109787</v>
      </c>
      <c r="N171" s="29" t="e">
        <v>#N/A</v>
      </c>
      <c r="O171" s="31">
        <v>2.7150250766887369</v>
      </c>
      <c r="P171" s="31">
        <v>493092000</v>
      </c>
      <c r="Q171" s="31">
        <v>493092000</v>
      </c>
      <c r="R171" s="29">
        <v>270276480</v>
      </c>
      <c r="S171" s="29">
        <v>10.196673797032267</v>
      </c>
      <c r="T171" s="29">
        <v>32.65626883969135</v>
      </c>
      <c r="U171" s="29">
        <v>25.492784277788434</v>
      </c>
      <c r="V171" s="29" t="e">
        <v>#N/A</v>
      </c>
      <c r="W171">
        <v>0.91380054505423669</v>
      </c>
      <c r="X171" t="s">
        <v>76</v>
      </c>
      <c r="Y171" t="s">
        <v>196</v>
      </c>
      <c r="Z171" t="s">
        <v>197</v>
      </c>
    </row>
    <row r="172" spans="2:26" x14ac:dyDescent="0.25">
      <c r="B172" t="s">
        <v>571</v>
      </c>
      <c r="C172" s="26" t="s">
        <v>572</v>
      </c>
      <c r="D172" s="26">
        <v>9.8350259067492268E-3</v>
      </c>
      <c r="E172" s="26">
        <v>1.1971790657897437E-2</v>
      </c>
      <c r="F172" s="26">
        <v>9.4140120362302838E-3</v>
      </c>
      <c r="G172" s="27">
        <v>1.1453297319535625E-2</v>
      </c>
      <c r="H172" s="28" t="e">
        <v>#N/A</v>
      </c>
      <c r="I172" s="28">
        <v>3.4975700910537739</v>
      </c>
      <c r="J172" s="26">
        <v>4.8308023321710909</v>
      </c>
      <c r="K172" s="29" t="e">
        <v>#N/A</v>
      </c>
      <c r="L172" s="26" t="e">
        <v>#N/A</v>
      </c>
      <c r="M172" s="30">
        <v>0.55314124000098741</v>
      </c>
      <c r="N172" s="29" t="e">
        <v>#N/A</v>
      </c>
      <c r="O172" s="31" t="e">
        <v>#N/A</v>
      </c>
      <c r="P172" s="31">
        <v>925509000</v>
      </c>
      <c r="Q172" s="31">
        <v>967407000</v>
      </c>
      <c r="R172" s="29">
        <v>489414080</v>
      </c>
      <c r="S172" s="29" t="e">
        <v>#N/A</v>
      </c>
      <c r="T172" s="29" t="e">
        <v>#N/A</v>
      </c>
      <c r="U172" s="29" t="e">
        <v>#N/A</v>
      </c>
      <c r="V172" s="29" t="e">
        <v>#N/A</v>
      </c>
      <c r="W172">
        <v>0.65003974714083257</v>
      </c>
      <c r="X172" t="s">
        <v>73</v>
      </c>
      <c r="Y172" t="s">
        <v>127</v>
      </c>
      <c r="Z172" t="s">
        <v>128</v>
      </c>
    </row>
    <row r="173" spans="2:26" x14ac:dyDescent="0.25">
      <c r="B173" t="s">
        <v>573</v>
      </c>
      <c r="C173" s="26" t="s">
        <v>574</v>
      </c>
      <c r="D173" s="26">
        <v>3.4956894704921027E-2</v>
      </c>
      <c r="E173" s="26">
        <v>0.16730205722812835</v>
      </c>
      <c r="F173" s="26">
        <v>3.4956894704921027E-2</v>
      </c>
      <c r="G173" s="27">
        <v>0.16730205722812835</v>
      </c>
      <c r="H173" s="28" t="e">
        <v>#N/A</v>
      </c>
      <c r="I173" s="28" t="e">
        <v>#N/A</v>
      </c>
      <c r="J173" s="26" t="e">
        <v>#N/A</v>
      </c>
      <c r="K173" s="29">
        <v>0.43245163130391057</v>
      </c>
      <c r="L173" s="26">
        <v>0.73236904946005055</v>
      </c>
      <c r="M173" s="30">
        <v>0.5343263722573679</v>
      </c>
      <c r="N173" s="29" t="e">
        <v>#N/A</v>
      </c>
      <c r="O173" s="31" t="e">
        <v>#N/A</v>
      </c>
      <c r="P173" s="31">
        <v>1419337000</v>
      </c>
      <c r="Q173" s="31">
        <v>1419337000</v>
      </c>
      <c r="R173" s="29">
        <v>300500000</v>
      </c>
      <c r="S173" s="29">
        <v>1.034126169622648</v>
      </c>
      <c r="T173" s="29">
        <v>1.034126169622648</v>
      </c>
      <c r="U173" s="29">
        <v>13.204326123128119</v>
      </c>
      <c r="V173" s="29">
        <v>5.4542379688317655E-2</v>
      </c>
      <c r="W173">
        <v>0.33846505542503991</v>
      </c>
      <c r="X173" t="s">
        <v>65</v>
      </c>
      <c r="Y173" t="s">
        <v>79</v>
      </c>
      <c r="Z173" t="s">
        <v>175</v>
      </c>
    </row>
    <row r="174" spans="2:26" x14ac:dyDescent="0.25">
      <c r="B174" t="s">
        <v>575</v>
      </c>
      <c r="C174" s="26" t="s">
        <v>576</v>
      </c>
      <c r="D174" s="26">
        <v>0.13705969012645092</v>
      </c>
      <c r="E174" s="26">
        <v>6.6980696132715428E-2</v>
      </c>
      <c r="F174" s="26">
        <v>0.13705969012645092</v>
      </c>
      <c r="G174" s="27">
        <v>6.6980696132715428E-2</v>
      </c>
      <c r="H174" s="28">
        <v>20.083332476607719</v>
      </c>
      <c r="I174" s="28">
        <v>24.043523791637273</v>
      </c>
      <c r="J174" s="26">
        <v>25.292495689537201</v>
      </c>
      <c r="K174" s="29">
        <v>0.43845228967448352</v>
      </c>
      <c r="L174" s="26">
        <v>4.8032735645137858</v>
      </c>
      <c r="M174" s="30">
        <v>0.37486136092933986</v>
      </c>
      <c r="N174" s="29" t="e">
        <v>#N/A</v>
      </c>
      <c r="O174" s="31">
        <v>1.8349809565961372</v>
      </c>
      <c r="P174" s="31">
        <v>3163822000</v>
      </c>
      <c r="Q174" s="31">
        <v>3163822000</v>
      </c>
      <c r="R174" s="29">
        <v>1818848000</v>
      </c>
      <c r="S174" s="29">
        <v>8.8068482476568661</v>
      </c>
      <c r="T174" s="29">
        <v>8.9984211733695574</v>
      </c>
      <c r="U174" s="29">
        <v>-39.292673164552511</v>
      </c>
      <c r="V174" s="29">
        <v>14.51125668878238</v>
      </c>
      <c r="W174">
        <v>0.98653646551072594</v>
      </c>
      <c r="X174" t="s">
        <v>66</v>
      </c>
      <c r="Y174" t="s">
        <v>78</v>
      </c>
      <c r="Z174" t="s">
        <v>121</v>
      </c>
    </row>
    <row r="175" spans="2:26" x14ac:dyDescent="0.25">
      <c r="B175" t="s">
        <v>577</v>
      </c>
      <c r="C175" s="26" t="s">
        <v>578</v>
      </c>
      <c r="D175" s="26">
        <v>4.2516069920948085E-2</v>
      </c>
      <c r="E175" s="26">
        <v>4.0090085886710793E-2</v>
      </c>
      <c r="F175" s="26">
        <v>4.049551942703504E-2</v>
      </c>
      <c r="G175" s="27">
        <v>3.875886533750595E-2</v>
      </c>
      <c r="H175" s="28" t="e">
        <v>#N/A</v>
      </c>
      <c r="I175" s="28">
        <v>8.2974192365909971</v>
      </c>
      <c r="J175" s="26">
        <v>5.8073953480282663</v>
      </c>
      <c r="K175" s="29">
        <v>0.50555271464150131</v>
      </c>
      <c r="L175" s="26" t="e">
        <v>#N/A</v>
      </c>
      <c r="M175" s="30">
        <v>0.21657432894218126</v>
      </c>
      <c r="N175" s="29" t="e">
        <v>#N/A</v>
      </c>
      <c r="O175" s="31" t="e">
        <v>#N/A</v>
      </c>
      <c r="P175" s="31">
        <v>4608047000</v>
      </c>
      <c r="Q175" s="31">
        <v>4766316000</v>
      </c>
      <c r="R175" s="29">
        <v>1054214336</v>
      </c>
      <c r="S175" s="29" t="e">
        <v>#N/A</v>
      </c>
      <c r="T175" s="29" t="e">
        <v>#N/A</v>
      </c>
      <c r="U175" s="29" t="e">
        <v>#N/A</v>
      </c>
      <c r="V175" s="29" t="e">
        <v>#N/A</v>
      </c>
      <c r="W175">
        <v>0.82851516701532335</v>
      </c>
      <c r="X175" t="s">
        <v>76</v>
      </c>
      <c r="Y175" t="s">
        <v>82</v>
      </c>
      <c r="Z175" t="s">
        <v>232</v>
      </c>
    </row>
    <row r="176" spans="2:26" x14ac:dyDescent="0.25">
      <c r="B176" t="s">
        <v>579</v>
      </c>
      <c r="C176" s="26" t="s">
        <v>580</v>
      </c>
      <c r="D176" s="26">
        <v>0.3594341192094086</v>
      </c>
      <c r="E176" s="26">
        <v>0.90984564038381288</v>
      </c>
      <c r="F176" s="26">
        <v>0.35887167692718458</v>
      </c>
      <c r="G176" s="27">
        <v>0.90984564038381288</v>
      </c>
      <c r="H176" s="28">
        <v>28.114203173441073</v>
      </c>
      <c r="I176" s="28">
        <v>5.2410745360288766</v>
      </c>
      <c r="J176" s="26">
        <v>6.4104444508839311</v>
      </c>
      <c r="K176" s="29">
        <v>-0.17849182821886161</v>
      </c>
      <c r="L176" s="26">
        <v>-1.4611316645045564</v>
      </c>
      <c r="M176" s="30">
        <v>0.29304702100152447</v>
      </c>
      <c r="N176" s="29" t="e">
        <v>#N/A</v>
      </c>
      <c r="O176" s="31">
        <v>3.791619856637876</v>
      </c>
      <c r="P176" s="31">
        <v>239700000.00000006</v>
      </c>
      <c r="Q176" s="31">
        <v>239700000.00000006</v>
      </c>
      <c r="R176" s="29">
        <v>3065280768</v>
      </c>
      <c r="S176" s="29">
        <v>8.3573496308396997</v>
      </c>
      <c r="T176" s="29">
        <v>11.172250822143052</v>
      </c>
      <c r="U176" s="29">
        <v>5.1297421639647984</v>
      </c>
      <c r="V176" s="29">
        <v>15.56480370876791</v>
      </c>
      <c r="W176">
        <v>4.0949740032687156</v>
      </c>
      <c r="X176" t="s">
        <v>66</v>
      </c>
      <c r="Y176" t="s">
        <v>78</v>
      </c>
      <c r="Z176" t="s">
        <v>121</v>
      </c>
    </row>
    <row r="177" spans="2:26" x14ac:dyDescent="0.25">
      <c r="B177" t="s">
        <v>581</v>
      </c>
      <c r="C177" s="26" t="s">
        <v>582</v>
      </c>
      <c r="D177" s="26">
        <v>1.7173004638410452E-2</v>
      </c>
      <c r="E177" s="26">
        <v>5.3574071333431998E-2</v>
      </c>
      <c r="F177" s="26">
        <v>1.455028828163799E-2</v>
      </c>
      <c r="G177" s="27">
        <v>4.0460489549569691E-2</v>
      </c>
      <c r="H177" s="28">
        <v>3.2364034554082002</v>
      </c>
      <c r="I177" s="28">
        <v>15.650353382532995</v>
      </c>
      <c r="J177" s="26">
        <v>72.465208747514907</v>
      </c>
      <c r="K177" s="29">
        <v>0.61481918660800516</v>
      </c>
      <c r="L177" s="26" t="e">
        <v>#N/A</v>
      </c>
      <c r="M177" s="30">
        <v>0.28703623251368493</v>
      </c>
      <c r="N177" s="29" t="e">
        <v>#N/A</v>
      </c>
      <c r="O177" s="31">
        <v>54.913556597204568</v>
      </c>
      <c r="P177" s="31">
        <v>13514000000</v>
      </c>
      <c r="Q177" s="31">
        <v>17894000000</v>
      </c>
      <c r="R177" s="29">
        <v>1161398144</v>
      </c>
      <c r="S177" s="29" t="e">
        <v>#N/A</v>
      </c>
      <c r="T177" s="29">
        <v>11.683046768273718</v>
      </c>
      <c r="U177" s="29">
        <v>-29.188956582317392</v>
      </c>
      <c r="V177" s="29">
        <v>9.9050705545562003</v>
      </c>
      <c r="W177">
        <v>0.28739307999048302</v>
      </c>
      <c r="X177" t="s">
        <v>76</v>
      </c>
      <c r="Y177" t="s">
        <v>131</v>
      </c>
      <c r="Z177" t="s">
        <v>132</v>
      </c>
    </row>
    <row r="178" spans="2:26" x14ac:dyDescent="0.25">
      <c r="B178" t="s">
        <v>583</v>
      </c>
      <c r="C178" s="26" t="s">
        <v>584</v>
      </c>
      <c r="D178" s="26" t="e">
        <v>#N/A</v>
      </c>
      <c r="E178" s="26" t="e">
        <v>#N/A</v>
      </c>
      <c r="F178" s="26" t="e">
        <v>#N/A</v>
      </c>
      <c r="G178" s="27" t="e">
        <v>#N/A</v>
      </c>
      <c r="H178" s="28">
        <v>20.888784387491182</v>
      </c>
      <c r="I178" s="28" t="e">
        <v>#N/A</v>
      </c>
      <c r="J178" s="26" t="e">
        <v>#N/A</v>
      </c>
      <c r="K178" s="29">
        <v>-0.2392687262768462</v>
      </c>
      <c r="L178" s="26" t="e">
        <v>#N/A</v>
      </c>
      <c r="M178" s="30">
        <v>5.6777014366021235E-2</v>
      </c>
      <c r="N178" s="29" t="e">
        <v>#N/A</v>
      </c>
      <c r="O178" s="31">
        <v>20.703866040039728</v>
      </c>
      <c r="P178" s="31">
        <v>-36537000000</v>
      </c>
      <c r="Q178" s="31">
        <v>-36537000000</v>
      </c>
      <c r="R178" s="29">
        <v>15500991488</v>
      </c>
      <c r="S178" s="29" t="e">
        <v>#N/A</v>
      </c>
      <c r="T178" s="29" t="e">
        <v>#N/A</v>
      </c>
      <c r="U178" s="29" t="e">
        <v>#N/A</v>
      </c>
      <c r="V178" s="29">
        <v>7.0189701897018972</v>
      </c>
      <c r="W178">
        <v>1.3807375324123272</v>
      </c>
      <c r="X178" t="s">
        <v>66</v>
      </c>
      <c r="Y178" t="s">
        <v>67</v>
      </c>
      <c r="Z178" t="s">
        <v>68</v>
      </c>
    </row>
    <row r="179" spans="2:26" x14ac:dyDescent="0.25">
      <c r="B179" t="s">
        <v>585</v>
      </c>
      <c r="C179" s="26" t="s">
        <v>586</v>
      </c>
      <c r="D179" s="26">
        <v>-3.5848701564352305E-2</v>
      </c>
      <c r="E179" s="26">
        <v>-5.3797071052456666E-2</v>
      </c>
      <c r="F179" s="26">
        <v>-3.5848701564352305E-2</v>
      </c>
      <c r="G179" s="27">
        <v>-5.3797071052456666E-2</v>
      </c>
      <c r="H179" s="28">
        <v>8.8605825242718446</v>
      </c>
      <c r="I179" s="28">
        <v>-148.55483018766034</v>
      </c>
      <c r="J179" s="26">
        <v>-245.361716857044</v>
      </c>
      <c r="K179" s="29">
        <v>-0.10280117695871129</v>
      </c>
      <c r="L179" s="26">
        <v>-1.3149771155906125</v>
      </c>
      <c r="M179" s="30">
        <v>0.87380810091697725</v>
      </c>
      <c r="N179" s="29" t="e">
        <v>#N/A</v>
      </c>
      <c r="O179" s="31">
        <v>15.699755490503069</v>
      </c>
      <c r="P179" s="31">
        <v>270814000</v>
      </c>
      <c r="Q179" s="31">
        <v>270814000</v>
      </c>
      <c r="R179" s="29">
        <v>787762112</v>
      </c>
      <c r="S179" s="29">
        <v>11.470463076573505</v>
      </c>
      <c r="T179" s="29">
        <v>11.539572405910686</v>
      </c>
      <c r="U179" s="29">
        <v>-5.2090598640011772</v>
      </c>
      <c r="V179" s="29" t="e">
        <v>#N/A</v>
      </c>
      <c r="W179">
        <v>0.79347880443226659</v>
      </c>
      <c r="X179" t="s">
        <v>66</v>
      </c>
      <c r="Y179" t="s">
        <v>78</v>
      </c>
      <c r="Z179" t="s">
        <v>121</v>
      </c>
    </row>
    <row r="180" spans="2:26" x14ac:dyDescent="0.25">
      <c r="B180" t="s">
        <v>587</v>
      </c>
      <c r="C180" s="26" t="s">
        <v>588</v>
      </c>
      <c r="D180" s="26">
        <v>0.51152496540459824</v>
      </c>
      <c r="E180" s="26">
        <v>0.64115922256391078</v>
      </c>
      <c r="F180" s="26">
        <v>0.26849468176431357</v>
      </c>
      <c r="G180" s="27">
        <v>0.29651000086499468</v>
      </c>
      <c r="H180" s="28">
        <v>29.131218565813676</v>
      </c>
      <c r="I180" s="28">
        <v>10.118021427271255</v>
      </c>
      <c r="J180" s="26">
        <v>10.624584715538127</v>
      </c>
      <c r="K180" s="29">
        <v>8.7867334032196917E-2</v>
      </c>
      <c r="L180" s="26">
        <v>0.40009636286220102</v>
      </c>
      <c r="M180" s="30">
        <v>0.31631523079732471</v>
      </c>
      <c r="N180" s="29" t="e">
        <v>#N/A</v>
      </c>
      <c r="O180" s="31">
        <v>19.846372117959625</v>
      </c>
      <c r="P180" s="31">
        <v>363554000</v>
      </c>
      <c r="Q180" s="31">
        <v>786132000</v>
      </c>
      <c r="R180" s="29">
        <v>3525793024</v>
      </c>
      <c r="S180" s="29">
        <v>10.345281648477243</v>
      </c>
      <c r="T180" s="29">
        <v>14.676241362592295</v>
      </c>
      <c r="U180" s="29">
        <v>10.134826337440732</v>
      </c>
      <c r="V180" s="29">
        <v>20.086117089768337</v>
      </c>
      <c r="W180">
        <v>5.6607177801520159</v>
      </c>
      <c r="X180" t="s">
        <v>91</v>
      </c>
      <c r="Y180" t="s">
        <v>94</v>
      </c>
      <c r="Z180" t="s">
        <v>126</v>
      </c>
    </row>
    <row r="181" spans="2:26" x14ac:dyDescent="0.25">
      <c r="B181" t="s">
        <v>589</v>
      </c>
      <c r="C181" s="26" t="s">
        <v>590</v>
      </c>
      <c r="D181" s="26">
        <v>-2.6741715396690756E-2</v>
      </c>
      <c r="E181" s="26">
        <v>2.9460433161576809E-2</v>
      </c>
      <c r="F181" s="26">
        <v>-2.6741715396690756E-2</v>
      </c>
      <c r="G181" s="27">
        <v>2.9460433161576809E-2</v>
      </c>
      <c r="H181" s="28" t="e">
        <v>#N/A</v>
      </c>
      <c r="I181" s="28">
        <v>3.4974922836729312</v>
      </c>
      <c r="J181" s="26">
        <v>5.1892898348169467</v>
      </c>
      <c r="K181" s="29" t="e">
        <v>#N/A</v>
      </c>
      <c r="L181" s="26" t="e">
        <v>#N/A</v>
      </c>
      <c r="M181" s="30">
        <v>0.56281789336777344</v>
      </c>
      <c r="N181" s="29" t="e">
        <v>#N/A</v>
      </c>
      <c r="O181" s="31" t="e">
        <v>#N/A</v>
      </c>
      <c r="P181" s="31">
        <v>95484000</v>
      </c>
      <c r="Q181" s="31">
        <v>95484000</v>
      </c>
      <c r="R181" s="29">
        <v>222547200</v>
      </c>
      <c r="S181" s="29" t="e">
        <v>#N/A</v>
      </c>
      <c r="T181" s="29" t="e">
        <v>#N/A</v>
      </c>
      <c r="U181" s="29" t="e">
        <v>#N/A</v>
      </c>
      <c r="V181" s="29" t="e">
        <v>#N/A</v>
      </c>
      <c r="W181">
        <v>0.92684500250964774</v>
      </c>
      <c r="X181" t="s">
        <v>73</v>
      </c>
      <c r="Y181" t="s">
        <v>169</v>
      </c>
      <c r="Z181" t="s">
        <v>231</v>
      </c>
    </row>
    <row r="182" spans="2:26" x14ac:dyDescent="0.25">
      <c r="B182" t="s">
        <v>591</v>
      </c>
      <c r="C182" s="26" t="s">
        <v>592</v>
      </c>
      <c r="D182" s="26">
        <v>8.7350879217234167E-2</v>
      </c>
      <c r="E182" s="26">
        <v>0.26256031791087142</v>
      </c>
      <c r="F182" s="26">
        <v>7.1703600546457205E-2</v>
      </c>
      <c r="G182" s="27">
        <v>0.21022727272727273</v>
      </c>
      <c r="H182" s="28">
        <v>-8.5197018104366348E-2</v>
      </c>
      <c r="I182" s="28">
        <v>47.491268162589812</v>
      </c>
      <c r="J182" s="26">
        <v>104.29175005559262</v>
      </c>
      <c r="K182" s="29">
        <v>0.5678434409207701</v>
      </c>
      <c r="L182" s="26">
        <v>8.4201461377870572</v>
      </c>
      <c r="M182" s="30">
        <v>0.2592389315770216</v>
      </c>
      <c r="N182" s="29" t="e">
        <v>#N/A</v>
      </c>
      <c r="O182" s="31">
        <v>7.0068658401574009</v>
      </c>
      <c r="P182" s="31">
        <v>17615000000</v>
      </c>
      <c r="Q182" s="31">
        <v>22000000000</v>
      </c>
      <c r="R182" s="29">
        <v>530285056</v>
      </c>
      <c r="S182" s="29">
        <v>11.873843974947809</v>
      </c>
      <c r="T182" s="29">
        <v>12.330777808130081</v>
      </c>
      <c r="U182" s="29" t="e">
        <v>#N/A</v>
      </c>
      <c r="V182" s="29">
        <v>0.40030576139801644</v>
      </c>
      <c r="W182">
        <v>0.22092757304347826</v>
      </c>
      <c r="X182" t="s">
        <v>66</v>
      </c>
      <c r="Y182" t="s">
        <v>110</v>
      </c>
      <c r="Z182" t="s">
        <v>110</v>
      </c>
    </row>
    <row r="183" spans="2:26" x14ac:dyDescent="0.25">
      <c r="B183" t="s">
        <v>593</v>
      </c>
      <c r="C183" s="26" t="s">
        <v>594</v>
      </c>
      <c r="D183" s="26">
        <v>0.18591588978856505</v>
      </c>
      <c r="E183" s="26">
        <v>0.11098757522713171</v>
      </c>
      <c r="F183" s="26">
        <v>0.14075232656566289</v>
      </c>
      <c r="G183" s="27">
        <v>8.882535140302826E-2</v>
      </c>
      <c r="H183" s="28">
        <v>9.6401388817623612</v>
      </c>
      <c r="I183" s="28">
        <v>9.3214044314531215</v>
      </c>
      <c r="J183" s="26">
        <v>8.7442115376508003</v>
      </c>
      <c r="K183" s="29">
        <v>0.41734805231374633</v>
      </c>
      <c r="L183" s="26">
        <v>3.3367305887085963</v>
      </c>
      <c r="M183" s="30">
        <v>0.26251526141264692</v>
      </c>
      <c r="N183" s="29" t="e">
        <v>#N/A</v>
      </c>
      <c r="O183" s="31">
        <v>7.4736745451209838</v>
      </c>
      <c r="P183" s="31">
        <v>991165000</v>
      </c>
      <c r="Q183" s="31">
        <v>1238464000</v>
      </c>
      <c r="R183" s="29">
        <v>1292475392</v>
      </c>
      <c r="S183" s="29">
        <v>8.5742271528480458</v>
      </c>
      <c r="T183" s="29">
        <v>17.544355684161513</v>
      </c>
      <c r="U183" s="29">
        <v>0.11064040436291842</v>
      </c>
      <c r="V183" s="29">
        <v>23.16750421307087</v>
      </c>
      <c r="W183">
        <v>2.2242205410330089</v>
      </c>
      <c r="X183" t="s">
        <v>91</v>
      </c>
      <c r="Y183" t="s">
        <v>92</v>
      </c>
      <c r="Z183" t="s">
        <v>93</v>
      </c>
    </row>
    <row r="184" spans="2:26" x14ac:dyDescent="0.25">
      <c r="B184" t="s">
        <v>595</v>
      </c>
      <c r="C184" s="26" t="s">
        <v>596</v>
      </c>
      <c r="D184" s="26">
        <v>0.57567435293282199</v>
      </c>
      <c r="E184" s="26">
        <v>0.60648429111619451</v>
      </c>
      <c r="F184" s="26">
        <v>0.48794804791082064</v>
      </c>
      <c r="G184" s="27">
        <v>0.5093690473467708</v>
      </c>
      <c r="H184" s="28">
        <v>12.017100502416906</v>
      </c>
      <c r="I184" s="28">
        <v>27.558078442636884</v>
      </c>
      <c r="J184" s="26">
        <v>31.318892153719183</v>
      </c>
      <c r="K184" s="29">
        <v>-0.32483566011328208</v>
      </c>
      <c r="L184" s="26">
        <v>-2.0666186624834451</v>
      </c>
      <c r="M184" s="30">
        <v>1.2143144478319783</v>
      </c>
      <c r="N184" s="29" t="e">
        <v>#N/A</v>
      </c>
      <c r="O184" s="31">
        <v>20.329033411911759</v>
      </c>
      <c r="P184" s="31">
        <v>257051999.99999994</v>
      </c>
      <c r="Q184" s="31">
        <v>306060999.99999994</v>
      </c>
      <c r="R184" s="29">
        <v>3400152320</v>
      </c>
      <c r="S184" s="29">
        <v>19.793408339869618</v>
      </c>
      <c r="T184" s="29">
        <v>21.941391298150588</v>
      </c>
      <c r="U184" s="29">
        <v>3.2174146833515977</v>
      </c>
      <c r="V184" s="29">
        <v>27.770373547284102</v>
      </c>
      <c r="W184">
        <v>5.1193653295648085</v>
      </c>
      <c r="X184" t="s">
        <v>91</v>
      </c>
      <c r="Y184" t="s">
        <v>216</v>
      </c>
      <c r="Z184" t="s">
        <v>217</v>
      </c>
    </row>
    <row r="185" spans="2:26" x14ac:dyDescent="0.25">
      <c r="B185" t="s">
        <v>597</v>
      </c>
      <c r="C185" s="26" t="s">
        <v>598</v>
      </c>
      <c r="D185" s="26">
        <v>3.8138797201525019E-3</v>
      </c>
      <c r="E185" s="26">
        <v>-4.1896420403115427E-3</v>
      </c>
      <c r="F185" s="26">
        <v>3.7787686365883559E-3</v>
      </c>
      <c r="G185" s="27">
        <v>-4.1896420403115427E-3</v>
      </c>
      <c r="H185" s="28">
        <v>6.6833383121051373</v>
      </c>
      <c r="I185" s="28" t="e">
        <v>#N/A</v>
      </c>
      <c r="J185" s="26" t="e">
        <v>#N/A</v>
      </c>
      <c r="K185" s="29">
        <v>0.21941463482443216</v>
      </c>
      <c r="L185" s="26">
        <v>-59.182027808580472</v>
      </c>
      <c r="M185" s="30">
        <v>0.76901637521198807</v>
      </c>
      <c r="N185" s="29" t="e">
        <v>#N/A</v>
      </c>
      <c r="O185" s="31" t="e">
        <v>#N/A</v>
      </c>
      <c r="P185" s="31">
        <v>966321610.0999999</v>
      </c>
      <c r="Q185" s="31">
        <v>966321610.0999999</v>
      </c>
      <c r="R185" s="29">
        <v>1317541376</v>
      </c>
      <c r="S185" s="29" t="e">
        <v>#N/A</v>
      </c>
      <c r="T185" s="29" t="e">
        <v>#N/A</v>
      </c>
      <c r="U185" s="29">
        <v>-0.23643093371168297</v>
      </c>
      <c r="V185" s="29">
        <v>25.433129231738565</v>
      </c>
      <c r="W185">
        <v>1.5568227478601651</v>
      </c>
      <c r="X185" t="s">
        <v>77</v>
      </c>
      <c r="Y185" t="s">
        <v>111</v>
      </c>
      <c r="Z185" t="s">
        <v>225</v>
      </c>
    </row>
    <row r="186" spans="2:26" x14ac:dyDescent="0.25">
      <c r="B186" t="s">
        <v>599</v>
      </c>
      <c r="C186" s="26" t="s">
        <v>600</v>
      </c>
      <c r="D186" s="26">
        <v>0.11039128804675682</v>
      </c>
      <c r="E186" s="26">
        <v>4.9414108198115279E-2</v>
      </c>
      <c r="F186" s="26">
        <v>0.11039128804675682</v>
      </c>
      <c r="G186" s="27">
        <v>4.9414108198115279E-2</v>
      </c>
      <c r="H186" s="28">
        <v>17.756361078362406</v>
      </c>
      <c r="I186" s="28">
        <v>15.382940328864487</v>
      </c>
      <c r="J186" s="26">
        <v>17.081809052435261</v>
      </c>
      <c r="K186" s="29">
        <v>0.3556366558651351</v>
      </c>
      <c r="L186" s="26">
        <v>8.715969244418158</v>
      </c>
      <c r="M186" s="30">
        <v>0.26316561094817981</v>
      </c>
      <c r="N186" s="29" t="e">
        <v>#N/A</v>
      </c>
      <c r="O186" s="31">
        <v>-11.248276572882869</v>
      </c>
      <c r="P186" s="31">
        <v>1098411000</v>
      </c>
      <c r="Q186" s="31">
        <v>1098411000</v>
      </c>
      <c r="R186" s="29">
        <v>481341888</v>
      </c>
      <c r="S186" s="29">
        <v>15.833252816797279</v>
      </c>
      <c r="T186" s="29">
        <v>16.514541764342997</v>
      </c>
      <c r="U186" s="29">
        <v>15.465306854823323</v>
      </c>
      <c r="V186" s="29">
        <v>10.411999402590196</v>
      </c>
      <c r="W186">
        <v>1.1205936284938742</v>
      </c>
      <c r="X186" t="s">
        <v>66</v>
      </c>
      <c r="Y186" t="s">
        <v>78</v>
      </c>
      <c r="Z186" t="s">
        <v>121</v>
      </c>
    </row>
    <row r="187" spans="2:26" x14ac:dyDescent="0.25">
      <c r="B187" t="s">
        <v>601</v>
      </c>
      <c r="C187" s="26" t="s">
        <v>602</v>
      </c>
      <c r="D187" s="26">
        <v>3.5981851180189532E-2</v>
      </c>
      <c r="E187" s="26">
        <v>3.241415409309608E-2</v>
      </c>
      <c r="F187" s="26">
        <v>3.5981851180189532E-2</v>
      </c>
      <c r="G187" s="27">
        <v>3.241415409309608E-2</v>
      </c>
      <c r="H187" s="28">
        <v>15.890351571257138</v>
      </c>
      <c r="I187" s="28">
        <v>73.7400661501608</v>
      </c>
      <c r="J187" s="26">
        <v>73.933242240874492</v>
      </c>
      <c r="K187" s="29">
        <v>0.22168996285765374</v>
      </c>
      <c r="L187" s="26">
        <v>1.9237250322585835</v>
      </c>
      <c r="M187" s="30">
        <v>0.60086152825606998</v>
      </c>
      <c r="N187" s="29" t="e">
        <v>#N/A</v>
      </c>
      <c r="O187" s="31">
        <v>3.9461875047106938</v>
      </c>
      <c r="P187" s="31">
        <v>1751889000</v>
      </c>
      <c r="Q187" s="31">
        <v>1751889000</v>
      </c>
      <c r="R187" s="29">
        <v>980615168</v>
      </c>
      <c r="S187" s="29">
        <v>5.8655637835599812</v>
      </c>
      <c r="T187" s="29">
        <v>5.8662476300745352</v>
      </c>
      <c r="U187" s="29">
        <v>-3.0185133746574694E-2</v>
      </c>
      <c r="V187" s="29">
        <v>19.286647694480347</v>
      </c>
      <c r="W187">
        <v>0.75134660544772036</v>
      </c>
      <c r="X187" t="s">
        <v>66</v>
      </c>
      <c r="Y187" t="s">
        <v>78</v>
      </c>
      <c r="Z187" t="s">
        <v>121</v>
      </c>
    </row>
    <row r="188" spans="2:26" x14ac:dyDescent="0.25">
      <c r="B188" t="s">
        <v>603</v>
      </c>
      <c r="C188" s="26" t="s">
        <v>604</v>
      </c>
      <c r="D188" s="26">
        <v>40.249877615540285</v>
      </c>
      <c r="E188" s="26">
        <v>5.1661914460285132</v>
      </c>
      <c r="F188" s="26">
        <v>40.249877615540285</v>
      </c>
      <c r="G188" s="27">
        <v>5.1661914460285132</v>
      </c>
      <c r="H188" s="28">
        <v>-27.36323643941148</v>
      </c>
      <c r="I188" s="28">
        <v>-22.051264533912978</v>
      </c>
      <c r="J188" s="26">
        <v>-41.023659712256688</v>
      </c>
      <c r="K188" s="29">
        <v>-0.73318480260603913</v>
      </c>
      <c r="L188" s="26">
        <v>3.3963252541047693</v>
      </c>
      <c r="M188" s="30">
        <v>0.69801002582409233</v>
      </c>
      <c r="N188" s="29" t="e">
        <v>#N/A</v>
      </c>
      <c r="O188" s="31">
        <v>14.719317416587922</v>
      </c>
      <c r="P188" s="31">
        <v>-2455000</v>
      </c>
      <c r="Q188" s="31">
        <v>-2455000</v>
      </c>
      <c r="R188" s="29">
        <v>222486656</v>
      </c>
      <c r="S188" s="29" t="e">
        <v>#N/A</v>
      </c>
      <c r="T188" s="29" t="e">
        <v>#N/A</v>
      </c>
      <c r="U188" s="29">
        <v>-14.49808482173523</v>
      </c>
      <c r="V188" s="29" t="e">
        <v>#N/A</v>
      </c>
      <c r="W188">
        <v>1.4142172023011574</v>
      </c>
      <c r="X188" t="s">
        <v>73</v>
      </c>
      <c r="Y188" t="s">
        <v>203</v>
      </c>
      <c r="Z188" t="s">
        <v>204</v>
      </c>
    </row>
    <row r="189" spans="2:26" x14ac:dyDescent="0.25">
      <c r="B189" t="s">
        <v>605</v>
      </c>
      <c r="C189" s="26" t="s">
        <v>606</v>
      </c>
      <c r="D189" s="26">
        <v>0.11280573449529838</v>
      </c>
      <c r="E189" s="26">
        <v>0.24580186795197878</v>
      </c>
      <c r="F189" s="26">
        <v>0.11280573449529838</v>
      </c>
      <c r="G189" s="27">
        <v>0.24580186795197878</v>
      </c>
      <c r="H189" s="28">
        <v>41.479997921439164</v>
      </c>
      <c r="I189" s="28">
        <v>6.1062657941766263</v>
      </c>
      <c r="J189" s="26">
        <v>6.9241742200733913</v>
      </c>
      <c r="K189" s="29">
        <v>0.16461186855839699</v>
      </c>
      <c r="L189" s="26">
        <v>0.64473262842058188</v>
      </c>
      <c r="M189" s="30">
        <v>0.43940890957054995</v>
      </c>
      <c r="N189" s="29" t="e">
        <v>#N/A</v>
      </c>
      <c r="O189" s="31">
        <v>13.655640106943299</v>
      </c>
      <c r="P189" s="31">
        <v>2416015000</v>
      </c>
      <c r="Q189" s="31">
        <v>2416015000</v>
      </c>
      <c r="R189" s="29">
        <v>3821178880</v>
      </c>
      <c r="S189" s="29">
        <v>1.6142234583038819</v>
      </c>
      <c r="T189" s="29">
        <v>1.9209574126950522</v>
      </c>
      <c r="U189" s="29">
        <v>72.241782852812861</v>
      </c>
      <c r="V189" s="29">
        <v>1.5644290612232352</v>
      </c>
      <c r="W189">
        <v>0.57410819017671044</v>
      </c>
      <c r="X189" t="s">
        <v>69</v>
      </c>
      <c r="Y189" t="s">
        <v>159</v>
      </c>
      <c r="Z189" t="s">
        <v>160</v>
      </c>
    </row>
    <row r="190" spans="2:26" x14ac:dyDescent="0.25">
      <c r="B190" t="s">
        <v>607</v>
      </c>
      <c r="C190" s="26" t="s">
        <v>608</v>
      </c>
      <c r="D190" s="26">
        <v>4.4909269596070694E-2</v>
      </c>
      <c r="E190" s="26">
        <v>4.6256619995006347E-2</v>
      </c>
      <c r="F190" s="26">
        <v>4.4909269596070694E-2</v>
      </c>
      <c r="G190" s="27">
        <v>4.6256619995006347E-2</v>
      </c>
      <c r="H190" s="28" t="e">
        <v>#N/A</v>
      </c>
      <c r="I190" s="28">
        <v>77.259050782717281</v>
      </c>
      <c r="J190" s="26">
        <v>78.489189066678748</v>
      </c>
      <c r="K190" s="29" t="e">
        <v>#N/A</v>
      </c>
      <c r="L190" s="26" t="e">
        <v>#N/A</v>
      </c>
      <c r="M190" s="30">
        <v>0.24093802410738621</v>
      </c>
      <c r="N190" s="29" t="e">
        <v>#N/A</v>
      </c>
      <c r="O190" s="31" t="e">
        <v>#N/A</v>
      </c>
      <c r="P190" s="31">
        <v>4253402000</v>
      </c>
      <c r="Q190" s="31">
        <v>4253402000</v>
      </c>
      <c r="R190" s="29">
        <v>741190528</v>
      </c>
      <c r="S190" s="29" t="e">
        <v>#N/A</v>
      </c>
      <c r="T190" s="29" t="e">
        <v>#N/A</v>
      </c>
      <c r="U190" s="29" t="e">
        <v>#N/A</v>
      </c>
      <c r="V190" s="29" t="e">
        <v>#N/A</v>
      </c>
      <c r="W190">
        <v>0.53706054046487495</v>
      </c>
      <c r="X190" t="s">
        <v>66</v>
      </c>
      <c r="Y190" t="s">
        <v>78</v>
      </c>
      <c r="Z190" t="s">
        <v>121</v>
      </c>
    </row>
    <row r="191" spans="2:26" x14ac:dyDescent="0.25">
      <c r="B191" t="s">
        <v>609</v>
      </c>
      <c r="C191" s="26" t="s">
        <v>610</v>
      </c>
      <c r="D191" s="26">
        <v>0.16391494748590921</v>
      </c>
      <c r="E191" s="26">
        <v>0.11605191101894007</v>
      </c>
      <c r="F191" s="26">
        <v>0.1638629882109916</v>
      </c>
      <c r="G191" s="27">
        <v>0.115792114644352</v>
      </c>
      <c r="H191" s="28">
        <v>6.7616510634500875</v>
      </c>
      <c r="I191" s="28">
        <v>6.2842554440609435</v>
      </c>
      <c r="J191" s="26">
        <v>5.1779072650632285</v>
      </c>
      <c r="K191" s="29">
        <v>0.15982021632589197</v>
      </c>
      <c r="L191" s="26">
        <v>1.919002945347442</v>
      </c>
      <c r="M191" s="30">
        <v>0.62555196369081567</v>
      </c>
      <c r="N191" s="29" t="e">
        <v>#N/A</v>
      </c>
      <c r="O191" s="31">
        <v>13.355962900718604</v>
      </c>
      <c r="P191" s="31">
        <v>1543025000</v>
      </c>
      <c r="Q191" s="31">
        <v>1546487000</v>
      </c>
      <c r="R191" s="29">
        <v>977194048</v>
      </c>
      <c r="S191" s="29">
        <v>7.9263302425366353</v>
      </c>
      <c r="T191" s="29">
        <v>10.709278439657078</v>
      </c>
      <c r="U191" s="29">
        <v>13.623292146781477</v>
      </c>
      <c r="V191" s="29">
        <v>11.818124331908153</v>
      </c>
      <c r="W191">
        <v>0.79778409585483356</v>
      </c>
      <c r="X191" t="s">
        <v>76</v>
      </c>
      <c r="Y191" t="s">
        <v>95</v>
      </c>
      <c r="Z191" t="s">
        <v>95</v>
      </c>
    </row>
    <row r="192" spans="2:26" x14ac:dyDescent="0.25">
      <c r="B192" t="s">
        <v>611</v>
      </c>
      <c r="C192" s="26" t="s">
        <v>612</v>
      </c>
      <c r="D192" s="26">
        <v>0.10624499057298471</v>
      </c>
      <c r="E192" s="26">
        <v>6.506625606569616E-2</v>
      </c>
      <c r="F192" s="26">
        <v>0.10624499057298471</v>
      </c>
      <c r="G192" s="27">
        <v>6.506625606569616E-2</v>
      </c>
      <c r="H192" s="28">
        <v>9.4466701205968793</v>
      </c>
      <c r="I192" s="28">
        <v>16.894041086286332</v>
      </c>
      <c r="J192" s="26">
        <v>15.499332154221316</v>
      </c>
      <c r="K192" s="29">
        <v>0.24207732430684456</v>
      </c>
      <c r="L192" s="26">
        <v>1.591704865521621</v>
      </c>
      <c r="M192" s="30">
        <v>0.40573422814282234</v>
      </c>
      <c r="N192" s="29" t="e">
        <v>#N/A</v>
      </c>
      <c r="O192" s="31">
        <v>5.777109511895504</v>
      </c>
      <c r="P192" s="31">
        <v>171456000</v>
      </c>
      <c r="Q192" s="31">
        <v>171456000</v>
      </c>
      <c r="R192" s="29">
        <v>257215904</v>
      </c>
      <c r="S192" s="29">
        <v>3.3397050864306617</v>
      </c>
      <c r="T192" s="29">
        <v>6.9994837664216671</v>
      </c>
      <c r="U192" s="29">
        <v>27.346652748219331</v>
      </c>
      <c r="V192" s="29">
        <v>7.0857261505301388</v>
      </c>
      <c r="W192">
        <v>0.63599052392174071</v>
      </c>
      <c r="X192" t="s">
        <v>76</v>
      </c>
      <c r="Y192" t="s">
        <v>162</v>
      </c>
      <c r="Z192" t="s">
        <v>163</v>
      </c>
    </row>
    <row r="193" spans="2:26" x14ac:dyDescent="0.25">
      <c r="B193" t="s">
        <v>613</v>
      </c>
      <c r="C193" s="26" t="s">
        <v>614</v>
      </c>
      <c r="D193" s="26">
        <v>0.12043228815498627</v>
      </c>
      <c r="E193" s="26">
        <v>0.14835564728306661</v>
      </c>
      <c r="F193" s="26">
        <v>0.1200003233170234</v>
      </c>
      <c r="G193" s="27">
        <v>0.14804161373967267</v>
      </c>
      <c r="H193" s="28" t="e">
        <v>#N/A</v>
      </c>
      <c r="I193" s="28">
        <v>15.932843625893735</v>
      </c>
      <c r="J193" s="26">
        <v>26.145446512505387</v>
      </c>
      <c r="K193" s="29">
        <v>0.2194586235561701</v>
      </c>
      <c r="L193" s="26" t="e">
        <v>#N/A</v>
      </c>
      <c r="M193" s="30">
        <v>0.41769241720905625</v>
      </c>
      <c r="N193" s="29" t="e">
        <v>#N/A</v>
      </c>
      <c r="O193" s="31" t="e">
        <v>#N/A</v>
      </c>
      <c r="P193" s="31">
        <v>1045609000</v>
      </c>
      <c r="Q193" s="31">
        <v>1047827000</v>
      </c>
      <c r="R193" s="29">
        <v>700230272</v>
      </c>
      <c r="S193" s="29" t="e">
        <v>#N/A</v>
      </c>
      <c r="T193" s="29" t="e">
        <v>#N/A</v>
      </c>
      <c r="U193" s="29" t="e">
        <v>#N/A</v>
      </c>
      <c r="V193" s="29" t="e">
        <v>#N/A</v>
      </c>
      <c r="W193">
        <v>0.9987571913527038</v>
      </c>
      <c r="X193" t="s">
        <v>66</v>
      </c>
      <c r="Y193" t="s">
        <v>78</v>
      </c>
      <c r="Z193" t="s">
        <v>121</v>
      </c>
    </row>
    <row r="194" spans="2:26" x14ac:dyDescent="0.25">
      <c r="B194" t="s">
        <v>615</v>
      </c>
      <c r="C194" s="26" t="s">
        <v>616</v>
      </c>
      <c r="D194" s="26">
        <v>7.9511489737139313E-2</v>
      </c>
      <c r="E194" s="26">
        <v>0.11826585688256318</v>
      </c>
      <c r="F194" s="26">
        <v>7.9511489737139313E-2</v>
      </c>
      <c r="G194" s="27">
        <v>0.11826585688256318</v>
      </c>
      <c r="H194" s="28">
        <v>16.410377531793394</v>
      </c>
      <c r="I194" s="28">
        <v>19.711178343345104</v>
      </c>
      <c r="J194" s="26">
        <v>27.932073281048773</v>
      </c>
      <c r="K194" s="29">
        <v>0.5399819262347757</v>
      </c>
      <c r="L194" s="26">
        <v>4.2215341325108291</v>
      </c>
      <c r="M194" s="30">
        <v>0.2567182755853733</v>
      </c>
      <c r="N194" s="29" t="e">
        <v>#N/A</v>
      </c>
      <c r="O194" s="31">
        <v>2.8484200514325395</v>
      </c>
      <c r="P194" s="31">
        <v>4598098000</v>
      </c>
      <c r="Q194" s="31">
        <v>4598098000</v>
      </c>
      <c r="R194" s="29">
        <v>1423176576</v>
      </c>
      <c r="S194" s="29">
        <v>5.708034121543637</v>
      </c>
      <c r="T194" s="29">
        <v>10.645955276245838</v>
      </c>
      <c r="U194" s="29">
        <v>-132.47653395891754</v>
      </c>
      <c r="V194" s="29">
        <v>4.3122681849194366</v>
      </c>
      <c r="W194">
        <v>0.75283485287061291</v>
      </c>
      <c r="X194" t="s">
        <v>76</v>
      </c>
      <c r="Y194" t="s">
        <v>95</v>
      </c>
      <c r="Z194" t="s">
        <v>95</v>
      </c>
    </row>
    <row r="195" spans="2:26" x14ac:dyDescent="0.25">
      <c r="B195" t="s">
        <v>617</v>
      </c>
      <c r="C195" s="26" t="s">
        <v>618</v>
      </c>
      <c r="D195" s="26">
        <v>4.9562094336003927E-2</v>
      </c>
      <c r="E195" s="26">
        <v>8.9895395083115764E-3</v>
      </c>
      <c r="F195" s="26">
        <v>4.3923214834654958E-2</v>
      </c>
      <c r="G195" s="27">
        <v>8.6741849663156401E-3</v>
      </c>
      <c r="H195" s="28">
        <v>11.321940260463903</v>
      </c>
      <c r="I195" s="28">
        <v>8.3418110358872664</v>
      </c>
      <c r="J195" s="26">
        <v>6.257831278645539</v>
      </c>
      <c r="K195" s="29">
        <v>0.58498893774329963</v>
      </c>
      <c r="L195" s="26">
        <v>8.526143924241806</v>
      </c>
      <c r="M195" s="30">
        <v>0.24290340136054422</v>
      </c>
      <c r="N195" s="29" t="e">
        <v>#N/A</v>
      </c>
      <c r="O195" s="31">
        <v>16.422037842616906</v>
      </c>
      <c r="P195" s="31">
        <v>286889000</v>
      </c>
      <c r="Q195" s="31">
        <v>297319000</v>
      </c>
      <c r="R195" s="29">
        <v>376979872</v>
      </c>
      <c r="S195" s="29">
        <v>12.603881301277603</v>
      </c>
      <c r="T195" s="29">
        <v>76.336832632880103</v>
      </c>
      <c r="U195" s="29">
        <v>-7.5047894311329371</v>
      </c>
      <c r="V195" s="29">
        <v>14.070917400608216</v>
      </c>
      <c r="W195">
        <v>1.117710197293788</v>
      </c>
      <c r="X195" t="s">
        <v>77</v>
      </c>
      <c r="Y195" t="s">
        <v>102</v>
      </c>
      <c r="Z195" t="s">
        <v>112</v>
      </c>
    </row>
    <row r="196" spans="2:26" x14ac:dyDescent="0.25">
      <c r="B196" t="s">
        <v>619</v>
      </c>
      <c r="C196" s="26" t="s">
        <v>620</v>
      </c>
      <c r="D196" s="26">
        <v>0.18761561946051622</v>
      </c>
      <c r="E196" s="26">
        <v>2.7912935292740911E-2</v>
      </c>
      <c r="F196" s="26">
        <v>0.18761561946051622</v>
      </c>
      <c r="G196" s="27">
        <v>2.7912935292740911E-2</v>
      </c>
      <c r="H196" s="28">
        <v>1.969993626660083</v>
      </c>
      <c r="I196" s="28">
        <v>15.806364749191108</v>
      </c>
      <c r="J196" s="26">
        <v>12.901754304579436</v>
      </c>
      <c r="K196" s="29">
        <v>-1.8066789868602317E-3</v>
      </c>
      <c r="L196" s="26">
        <v>-2.5943180780122473E-2</v>
      </c>
      <c r="M196" s="30">
        <v>0.56220796529140649</v>
      </c>
      <c r="N196" s="29" t="e">
        <v>#N/A</v>
      </c>
      <c r="O196" s="31">
        <v>7.2028045241102152</v>
      </c>
      <c r="P196" s="31">
        <v>162362000</v>
      </c>
      <c r="Q196" s="31">
        <v>162362000</v>
      </c>
      <c r="R196" s="29">
        <v>917472192</v>
      </c>
      <c r="S196" s="29">
        <v>11.029668036905088</v>
      </c>
      <c r="T196" s="29">
        <v>25.419321263157894</v>
      </c>
      <c r="U196" s="29">
        <v>2.6618296585018384</v>
      </c>
      <c r="V196" s="29">
        <v>65.191364894334214</v>
      </c>
      <c r="W196">
        <v>1.3162253918526046</v>
      </c>
      <c r="X196" t="s">
        <v>73</v>
      </c>
      <c r="Y196" t="s">
        <v>98</v>
      </c>
      <c r="Z196" t="s">
        <v>99</v>
      </c>
    </row>
    <row r="197" spans="2:26" x14ac:dyDescent="0.25">
      <c r="B197" t="s">
        <v>621</v>
      </c>
      <c r="C197" s="26" t="s">
        <v>622</v>
      </c>
      <c r="D197" s="26">
        <v>8.3128375548189679E-2</v>
      </c>
      <c r="E197" s="26">
        <v>9.0579138908056397E-2</v>
      </c>
      <c r="F197" s="26">
        <v>8.3128375548189679E-2</v>
      </c>
      <c r="G197" s="27">
        <v>9.0579138908056397E-2</v>
      </c>
      <c r="H197" s="28">
        <v>14.107844365041872</v>
      </c>
      <c r="I197" s="28">
        <v>25.065993339232108</v>
      </c>
      <c r="J197" s="26">
        <v>27.863778397986973</v>
      </c>
      <c r="K197" s="29">
        <v>0.46890596493792208</v>
      </c>
      <c r="L197" s="26">
        <v>5.9143555336434375</v>
      </c>
      <c r="M197" s="30">
        <v>0.32069352589632971</v>
      </c>
      <c r="N197" s="29" t="e">
        <v>#N/A</v>
      </c>
      <c r="O197" s="31">
        <v>12.461745924574995</v>
      </c>
      <c r="P197" s="31">
        <v>4294013000</v>
      </c>
      <c r="Q197" s="31">
        <v>4294013000</v>
      </c>
      <c r="R197" s="29">
        <v>4491759616</v>
      </c>
      <c r="S197" s="29">
        <v>15.541972553643008</v>
      </c>
      <c r="T197" s="29">
        <v>16.800487566154729</v>
      </c>
      <c r="U197" s="29">
        <v>-8.0571542321823131</v>
      </c>
      <c r="V197" s="29">
        <v>20.034778981432837</v>
      </c>
      <c r="W197">
        <v>2.3917809152774425</v>
      </c>
      <c r="X197" t="s">
        <v>66</v>
      </c>
      <c r="Y197" t="s">
        <v>78</v>
      </c>
      <c r="Z197" t="s">
        <v>121</v>
      </c>
    </row>
    <row r="198" spans="2:26" x14ac:dyDescent="0.25">
      <c r="B198" t="s">
        <v>623</v>
      </c>
      <c r="C198" s="26" t="s">
        <v>624</v>
      </c>
      <c r="D198" s="26">
        <v>0.11182270429044863</v>
      </c>
      <c r="E198" s="26">
        <v>0.13314625850340137</v>
      </c>
      <c r="F198" s="26">
        <v>0.10963667583594483</v>
      </c>
      <c r="G198" s="27">
        <v>0.1311848076520282</v>
      </c>
      <c r="H198" s="28" t="e">
        <v>#N/A</v>
      </c>
      <c r="I198" s="28">
        <v>15.214368721759314</v>
      </c>
      <c r="J198" s="26">
        <v>18.330341976218712</v>
      </c>
      <c r="K198" s="29" t="e">
        <v>#N/A</v>
      </c>
      <c r="L198" s="26" t="e">
        <v>#N/A</v>
      </c>
      <c r="M198" s="30">
        <v>0.57981604748907201</v>
      </c>
      <c r="N198" s="29" t="e">
        <v>#N/A</v>
      </c>
      <c r="O198" s="31" t="e">
        <v>#N/A</v>
      </c>
      <c r="P198" s="31">
        <v>352800000</v>
      </c>
      <c r="Q198" s="31">
        <v>358075000</v>
      </c>
      <c r="R198" s="29">
        <v>390585280</v>
      </c>
      <c r="S198" s="29" t="e">
        <v>#N/A</v>
      </c>
      <c r="T198" s="29" t="e">
        <v>#N/A</v>
      </c>
      <c r="U198" s="29" t="e">
        <v>#N/A</v>
      </c>
      <c r="V198" s="29" t="e">
        <v>#N/A</v>
      </c>
      <c r="W198">
        <v>1.3085393264351146</v>
      </c>
      <c r="X198" t="s">
        <v>77</v>
      </c>
      <c r="Y198" t="s">
        <v>85</v>
      </c>
      <c r="Z198" t="s">
        <v>114</v>
      </c>
    </row>
    <row r="199" spans="2:26" x14ac:dyDescent="0.25">
      <c r="B199" t="s">
        <v>625</v>
      </c>
      <c r="C199" s="26" t="s">
        <v>626</v>
      </c>
      <c r="D199" s="26">
        <v>4.1529000878523938E-2</v>
      </c>
      <c r="E199" s="26">
        <v>3.5812132860521949E-2</v>
      </c>
      <c r="F199" s="26">
        <v>4.1520606306300736E-2</v>
      </c>
      <c r="G199" s="27">
        <v>3.5812132860521949E-2</v>
      </c>
      <c r="H199" s="28">
        <v>2.3887657916800205</v>
      </c>
      <c r="I199" s="28">
        <v>43.595045636307987</v>
      </c>
      <c r="J199" s="26">
        <v>45.927578626127733</v>
      </c>
      <c r="K199" s="29">
        <v>0.52242811995827365</v>
      </c>
      <c r="L199" s="26">
        <v>18.366429588559658</v>
      </c>
      <c r="M199" s="30">
        <v>0.34610651939715248</v>
      </c>
      <c r="N199" s="29" t="e">
        <v>#N/A</v>
      </c>
      <c r="O199" s="31">
        <v>16.214938817708362</v>
      </c>
      <c r="P199" s="31">
        <v>14777422000</v>
      </c>
      <c r="Q199" s="31">
        <v>14777422000</v>
      </c>
      <c r="R199" s="29">
        <v>5011014144</v>
      </c>
      <c r="S199" s="29">
        <v>27.899844240441137</v>
      </c>
      <c r="T199" s="29">
        <v>28.127754815135823</v>
      </c>
      <c r="U199" s="29">
        <v>-18.883961864945796</v>
      </c>
      <c r="V199" s="29">
        <v>46.758699096010361</v>
      </c>
      <c r="W199">
        <v>0.77906027270162781</v>
      </c>
      <c r="X199" t="s">
        <v>66</v>
      </c>
      <c r="Y199" t="s">
        <v>78</v>
      </c>
      <c r="Z199" t="s">
        <v>121</v>
      </c>
    </row>
    <row r="200" spans="2:26" x14ac:dyDescent="0.25">
      <c r="B200" t="s">
        <v>627</v>
      </c>
      <c r="C200" s="26" t="s">
        <v>628</v>
      </c>
      <c r="D200" s="26">
        <v>6.551576969017385E-2</v>
      </c>
      <c r="E200" s="26">
        <v>9.096075387838537E-2</v>
      </c>
      <c r="F200" s="26">
        <v>5.0178485635987535E-2</v>
      </c>
      <c r="G200" s="27">
        <v>6.6458029932141421E-2</v>
      </c>
      <c r="H200" s="28">
        <v>2.3982970293866273</v>
      </c>
      <c r="I200" s="28">
        <v>8.8071232787032443</v>
      </c>
      <c r="J200" s="26">
        <v>10.167611741160774</v>
      </c>
      <c r="K200" s="29">
        <v>-0.25687393892473642</v>
      </c>
      <c r="L200" s="26">
        <v>-2.6579096757915983</v>
      </c>
      <c r="M200" s="30">
        <v>0.68640174402174647</v>
      </c>
      <c r="N200" s="29" t="e">
        <v>#N/A</v>
      </c>
      <c r="O200" s="31">
        <v>-0.36596025185197367</v>
      </c>
      <c r="P200" s="31">
        <v>117897000</v>
      </c>
      <c r="Q200" s="31">
        <v>161365000</v>
      </c>
      <c r="R200" s="29">
        <v>1408747136</v>
      </c>
      <c r="S200" s="29">
        <v>9.0634810142550783</v>
      </c>
      <c r="T200" s="29">
        <v>14.691726189867593</v>
      </c>
      <c r="U200" s="29">
        <v>4.0031011414849091</v>
      </c>
      <c r="V200" s="29">
        <v>55.709497141953861</v>
      </c>
      <c r="W200">
        <v>1.4511739698490311</v>
      </c>
      <c r="X200" t="s">
        <v>71</v>
      </c>
      <c r="Y200" t="s">
        <v>75</v>
      </c>
      <c r="Z200" t="s">
        <v>226</v>
      </c>
    </row>
    <row r="201" spans="2:26" x14ac:dyDescent="0.25">
      <c r="B201" t="s">
        <v>629</v>
      </c>
      <c r="C201" s="26" t="s">
        <v>630</v>
      </c>
      <c r="D201" s="26">
        <v>0.52408951516635027</v>
      </c>
      <c r="E201" s="26">
        <v>3.8313546436303761E-2</v>
      </c>
      <c r="F201" s="26">
        <v>0.50380990587896446</v>
      </c>
      <c r="G201" s="27">
        <v>3.6936948208201426E-2</v>
      </c>
      <c r="H201" s="28">
        <v>0.59122656579509236</v>
      </c>
      <c r="I201" s="28">
        <v>31.074522059566579</v>
      </c>
      <c r="J201" s="26">
        <v>9.0990170206230196</v>
      </c>
      <c r="K201" s="29">
        <v>-0.59083688966662851</v>
      </c>
      <c r="L201" s="26">
        <v>-43.361576047406167</v>
      </c>
      <c r="M201" s="30">
        <v>1.7069336581970718</v>
      </c>
      <c r="N201" s="29" t="e">
        <v>#N/A</v>
      </c>
      <c r="O201" s="31">
        <v>-2.4436528520616223</v>
      </c>
      <c r="P201" s="31">
        <v>462343000.00000024</v>
      </c>
      <c r="Q201" s="31">
        <v>479574000.00000024</v>
      </c>
      <c r="R201" s="29">
        <v>1433101952</v>
      </c>
      <c r="S201" s="29">
        <v>6.3006186367259325</v>
      </c>
      <c r="T201" s="29" t="e">
        <v>#N/A</v>
      </c>
      <c r="U201" s="29">
        <v>5.2514756465840051</v>
      </c>
      <c r="V201" s="29">
        <v>66.918099476834897</v>
      </c>
      <c r="W201">
        <v>0.82431728609539556</v>
      </c>
      <c r="X201" t="s">
        <v>73</v>
      </c>
      <c r="Y201" t="s">
        <v>96</v>
      </c>
      <c r="Z201" t="s">
        <v>154</v>
      </c>
    </row>
    <row r="202" spans="2:26" x14ac:dyDescent="0.25">
      <c r="B202" t="s">
        <v>631</v>
      </c>
      <c r="C202" s="26" t="s">
        <v>632</v>
      </c>
      <c r="D202" s="26">
        <v>4.8882066813482922E-2</v>
      </c>
      <c r="E202" s="26">
        <v>6.3625231819696634E-2</v>
      </c>
      <c r="F202" s="26">
        <v>4.8882066813482922E-2</v>
      </c>
      <c r="G202" s="27">
        <v>6.3625231819696634E-2</v>
      </c>
      <c r="H202" s="28">
        <v>16.515557633816382</v>
      </c>
      <c r="I202" s="28">
        <v>74.670034361685552</v>
      </c>
      <c r="J202" s="26">
        <v>80.794769212396261</v>
      </c>
      <c r="K202" s="29">
        <v>0.44143981850416492</v>
      </c>
      <c r="L202" s="26">
        <v>5.6962328044454713</v>
      </c>
      <c r="M202" s="30">
        <v>0.31308420918744795</v>
      </c>
      <c r="N202" s="29" t="e">
        <v>#N/A</v>
      </c>
      <c r="O202" s="31">
        <v>33.479648746985966</v>
      </c>
      <c r="P202" s="31">
        <v>4717028000</v>
      </c>
      <c r="Q202" s="31">
        <v>4717028000</v>
      </c>
      <c r="R202" s="29">
        <v>6300730880</v>
      </c>
      <c r="S202" s="29">
        <v>16.249995612139969</v>
      </c>
      <c r="T202" s="29">
        <v>21.161448143802424</v>
      </c>
      <c r="U202" s="29">
        <v>-14.085984894501635</v>
      </c>
      <c r="V202" s="29">
        <v>17.821054280542789</v>
      </c>
      <c r="W202">
        <v>2.6104302143880886</v>
      </c>
      <c r="X202" t="s">
        <v>69</v>
      </c>
      <c r="Y202" t="s">
        <v>70</v>
      </c>
      <c r="Z202" t="s">
        <v>70</v>
      </c>
    </row>
    <row r="203" spans="2:26" x14ac:dyDescent="0.25">
      <c r="B203" t="s">
        <v>633</v>
      </c>
      <c r="C203" s="26" t="s">
        <v>634</v>
      </c>
      <c r="D203" s="26">
        <v>1.8667261587206919E-2</v>
      </c>
      <c r="E203" s="26">
        <v>2.9457675070750148E-2</v>
      </c>
      <c r="F203" s="26">
        <v>1.8173971881011185E-2</v>
      </c>
      <c r="G203" s="27">
        <v>2.83397878316206E-2</v>
      </c>
      <c r="H203" s="28">
        <v>21.548867847928861</v>
      </c>
      <c r="I203" s="28">
        <v>9.0852668103659688</v>
      </c>
      <c r="J203" s="26">
        <v>16.855549962705101</v>
      </c>
      <c r="K203" s="29">
        <v>0.63664830662296201</v>
      </c>
      <c r="L203" s="26">
        <v>6.936873102721175</v>
      </c>
      <c r="M203" s="30">
        <v>0.19028264659909125</v>
      </c>
      <c r="N203" s="29" t="e">
        <v>#N/A</v>
      </c>
      <c r="O203" s="31">
        <v>60.400090237384873</v>
      </c>
      <c r="P203" s="31">
        <v>2404942000</v>
      </c>
      <c r="Q203" s="31">
        <v>2499807000</v>
      </c>
      <c r="R203" s="29">
        <v>402469600</v>
      </c>
      <c r="S203" s="29">
        <v>9.3138698125897523</v>
      </c>
      <c r="T203" s="29">
        <v>18.895441940051924</v>
      </c>
      <c r="U203" s="29">
        <v>26.383856072607717</v>
      </c>
      <c r="V203" s="29">
        <v>7.5363012866834849</v>
      </c>
      <c r="W203">
        <v>1.1943217967512003</v>
      </c>
      <c r="X203" t="s">
        <v>81</v>
      </c>
      <c r="Y203" t="s">
        <v>87</v>
      </c>
      <c r="Z203" t="s">
        <v>170</v>
      </c>
    </row>
    <row r="204" spans="2:26" x14ac:dyDescent="0.25">
      <c r="B204" t="s">
        <v>635</v>
      </c>
      <c r="C204" s="26" t="s">
        <v>636</v>
      </c>
      <c r="D204" s="26">
        <v>4.9854434440464737E-2</v>
      </c>
      <c r="E204" s="26">
        <v>4.0075815896387153E-2</v>
      </c>
      <c r="F204" s="26">
        <v>4.9854434440464737E-2</v>
      </c>
      <c r="G204" s="27">
        <v>4.0075815896387153E-2</v>
      </c>
      <c r="H204" s="28" t="e">
        <v>#N/A</v>
      </c>
      <c r="I204" s="28">
        <v>26.952188632761938</v>
      </c>
      <c r="J204" s="26">
        <v>18.170357834841685</v>
      </c>
      <c r="K204" s="29">
        <v>0.71458684747365775</v>
      </c>
      <c r="L204" s="26" t="e">
        <v>#N/A</v>
      </c>
      <c r="M204" s="30">
        <v>0.18469745137394558</v>
      </c>
      <c r="N204" s="29" t="e">
        <v>#N/A</v>
      </c>
      <c r="O204" s="31" t="e">
        <v>#N/A</v>
      </c>
      <c r="P204" s="31">
        <v>3615073000</v>
      </c>
      <c r="Q204" s="31">
        <v>3615073000</v>
      </c>
      <c r="R204" s="29">
        <v>254904032</v>
      </c>
      <c r="S204" s="29" t="e">
        <v>#N/A</v>
      </c>
      <c r="T204" s="29" t="e">
        <v>#N/A</v>
      </c>
      <c r="U204" s="29">
        <v>-67.168808063420514</v>
      </c>
      <c r="V204" s="29" t="e">
        <v>#N/A</v>
      </c>
      <c r="W204">
        <v>0.36655237774566862</v>
      </c>
      <c r="X204" t="s">
        <v>76</v>
      </c>
      <c r="Y204" t="s">
        <v>131</v>
      </c>
      <c r="Z204" t="s">
        <v>132</v>
      </c>
    </row>
    <row r="205" spans="2:26" x14ac:dyDescent="0.25">
      <c r="B205" t="s">
        <v>637</v>
      </c>
      <c r="C205" s="26" t="s">
        <v>638</v>
      </c>
      <c r="D205" s="26">
        <v>0.26486635400922298</v>
      </c>
      <c r="E205" s="26">
        <v>0.14794501636268367</v>
      </c>
      <c r="F205" s="26">
        <v>0.24822190157268093</v>
      </c>
      <c r="G205" s="27">
        <v>0.14155434488110616</v>
      </c>
      <c r="H205" s="28">
        <v>11.027822870137541</v>
      </c>
      <c r="I205" s="28">
        <v>15.852295576351334</v>
      </c>
      <c r="J205" s="26">
        <v>12.148766034338346</v>
      </c>
      <c r="K205" s="29">
        <v>-0.25507513961954653</v>
      </c>
      <c r="L205" s="26">
        <v>-2.0738627906284424</v>
      </c>
      <c r="M205" s="30">
        <v>0.79845265451937886</v>
      </c>
      <c r="N205" s="29" t="e">
        <v>#N/A</v>
      </c>
      <c r="O205" s="31">
        <v>6.8555205088221669</v>
      </c>
      <c r="P205" s="31">
        <v>1274852000</v>
      </c>
      <c r="Q205" s="31">
        <v>1332407000</v>
      </c>
      <c r="R205" s="29">
        <v>3059712000</v>
      </c>
      <c r="S205" s="29">
        <v>9.3685883123455689</v>
      </c>
      <c r="T205" s="29">
        <v>11.118431337911542</v>
      </c>
      <c r="U205" s="29">
        <v>2.9543303422021419</v>
      </c>
      <c r="V205" s="29">
        <v>15.759265510142392</v>
      </c>
      <c r="W205">
        <v>1.756049551843323</v>
      </c>
      <c r="X205" t="s">
        <v>65</v>
      </c>
      <c r="Y205" t="s">
        <v>79</v>
      </c>
      <c r="Z205" t="s">
        <v>224</v>
      </c>
    </row>
    <row r="206" spans="2:26" x14ac:dyDescent="0.25">
      <c r="B206" t="s">
        <v>639</v>
      </c>
      <c r="C206" s="26" t="s">
        <v>640</v>
      </c>
      <c r="D206" s="26">
        <v>0.24583492883551411</v>
      </c>
      <c r="E206" s="26">
        <v>0.35964554899164797</v>
      </c>
      <c r="F206" s="26">
        <v>9.5550731541759887E-2</v>
      </c>
      <c r="G206" s="27">
        <v>0.12862919383629012</v>
      </c>
      <c r="H206" s="28">
        <v>-27.758095593262478</v>
      </c>
      <c r="I206" s="28">
        <v>29.526895227496965</v>
      </c>
      <c r="J206" s="26">
        <v>32.422110552763819</v>
      </c>
      <c r="K206" s="29">
        <v>0.70627863109673938</v>
      </c>
      <c r="L206" s="26">
        <v>121.50331125827815</v>
      </c>
      <c r="M206" s="30">
        <v>0.17886065668871098</v>
      </c>
      <c r="N206" s="29" t="e">
        <v>#N/A</v>
      </c>
      <c r="O206" s="31">
        <v>-6.1421603656470127</v>
      </c>
      <c r="P206" s="31">
        <v>9818000000</v>
      </c>
      <c r="Q206" s="31">
        <v>27451000000</v>
      </c>
      <c r="R206" s="29">
        <v>42575421440</v>
      </c>
      <c r="S206" s="29">
        <v>200.2346701986755</v>
      </c>
      <c r="T206" s="29" t="e">
        <v>#N/A</v>
      </c>
      <c r="U206" s="29">
        <v>10.442971440422822</v>
      </c>
      <c r="V206" s="29">
        <v>6.1914687196628346</v>
      </c>
      <c r="W206">
        <v>1.6012459297934727</v>
      </c>
      <c r="X206" t="s">
        <v>73</v>
      </c>
      <c r="Y206" t="s">
        <v>96</v>
      </c>
      <c r="Z206" t="s">
        <v>154</v>
      </c>
    </row>
    <row r="207" spans="2:26" x14ac:dyDescent="0.25">
      <c r="B207" t="s">
        <v>641</v>
      </c>
      <c r="C207" s="26" t="s">
        <v>642</v>
      </c>
      <c r="D207" s="26">
        <v>0.30847383174065529</v>
      </c>
      <c r="E207" s="26">
        <v>0.15575967594963649</v>
      </c>
      <c r="F207" s="26">
        <v>0.30533423824435929</v>
      </c>
      <c r="G207" s="27">
        <v>0.15002786835884196</v>
      </c>
      <c r="H207" s="28">
        <v>4.5497419200488389</v>
      </c>
      <c r="I207" s="28">
        <v>18.506199387295208</v>
      </c>
      <c r="J207" s="26">
        <v>12.548652488518341</v>
      </c>
      <c r="K207" s="29">
        <v>-0.18108579781947445</v>
      </c>
      <c r="L207" s="26" t="e">
        <v>#N/A</v>
      </c>
      <c r="M207" s="30">
        <v>0.77468633403095077</v>
      </c>
      <c r="N207" s="29" t="e">
        <v>#N/A</v>
      </c>
      <c r="O207" s="31">
        <v>1.1284811799415098</v>
      </c>
      <c r="P207" s="31">
        <v>300694000</v>
      </c>
      <c r="Q207" s="31">
        <v>312182000</v>
      </c>
      <c r="R207" s="29">
        <v>416939776</v>
      </c>
      <c r="S207" s="29" t="e">
        <v>#N/A</v>
      </c>
      <c r="T207" s="29">
        <v>16.26920127919372</v>
      </c>
      <c r="U207" s="29">
        <v>9.3020628475609861</v>
      </c>
      <c r="V207" s="29">
        <v>25.606024021890146</v>
      </c>
      <c r="W207">
        <v>1.1568350251633228</v>
      </c>
      <c r="X207" t="s">
        <v>65</v>
      </c>
      <c r="Y207" t="s">
        <v>149</v>
      </c>
      <c r="Z207" t="s">
        <v>172</v>
      </c>
    </row>
    <row r="208" spans="2:26" x14ac:dyDescent="0.25">
      <c r="B208" t="s">
        <v>643</v>
      </c>
      <c r="C208" s="26" t="s">
        <v>644</v>
      </c>
      <c r="D208" s="26">
        <v>-1.8792156757366807</v>
      </c>
      <c r="E208" s="26">
        <v>0.204651108348437</v>
      </c>
      <c r="F208" s="26">
        <v>0.94574560302820299</v>
      </c>
      <c r="G208" s="27">
        <v>0.19547436493412498</v>
      </c>
      <c r="H208" s="28">
        <v>41.249994342893089</v>
      </c>
      <c r="I208" s="28">
        <v>7.3611702582309846</v>
      </c>
      <c r="J208" s="26">
        <v>8.680042475567884</v>
      </c>
      <c r="K208" s="29">
        <v>0.25623631733361135</v>
      </c>
      <c r="L208" s="26">
        <v>1.6325327848405407</v>
      </c>
      <c r="M208" s="30">
        <v>0.15093795747334832</v>
      </c>
      <c r="N208" s="29" t="e">
        <v>#N/A</v>
      </c>
      <c r="O208" s="31">
        <v>6.3076424730672063</v>
      </c>
      <c r="P208" s="31">
        <v>1623226000</v>
      </c>
      <c r="Q208" s="31">
        <v>1699430000</v>
      </c>
      <c r="R208" s="29">
        <v>2989301504</v>
      </c>
      <c r="S208" s="29">
        <v>6.3224438292265246</v>
      </c>
      <c r="T208" s="29">
        <v>11.273752975175263</v>
      </c>
      <c r="U208" s="29">
        <v>13.332077726743753</v>
      </c>
      <c r="V208" s="29">
        <v>12.051380255198101</v>
      </c>
      <c r="W208">
        <v>5.3720433615921772</v>
      </c>
      <c r="X208" t="s">
        <v>73</v>
      </c>
      <c r="Y208" t="s">
        <v>169</v>
      </c>
      <c r="Z208" t="s">
        <v>187</v>
      </c>
    </row>
    <row r="209" spans="2:26" x14ac:dyDescent="0.25">
      <c r="B209" t="s">
        <v>645</v>
      </c>
      <c r="C209" s="26" t="s">
        <v>646</v>
      </c>
      <c r="D209" s="26">
        <v>6.7767677204805407E-2</v>
      </c>
      <c r="E209" s="26">
        <v>6.2283611031224193E-2</v>
      </c>
      <c r="F209" s="26">
        <v>6.5893427957124245E-2</v>
      </c>
      <c r="G209" s="27">
        <v>6.043876479528338E-2</v>
      </c>
      <c r="H209" s="28">
        <v>10.601609846701587</v>
      </c>
      <c r="I209" s="28">
        <v>19.602993791081296</v>
      </c>
      <c r="J209" s="26">
        <v>19.351267790772727</v>
      </c>
      <c r="K209" s="29">
        <v>0.32851775966718422</v>
      </c>
      <c r="L209" s="26">
        <v>3.6363576740549295</v>
      </c>
      <c r="M209" s="30">
        <v>0.46293124483650222</v>
      </c>
      <c r="N209" s="29" t="e">
        <v>#N/A</v>
      </c>
      <c r="O209" s="31">
        <v>5.5678087347159293</v>
      </c>
      <c r="P209" s="31">
        <v>8101730000</v>
      </c>
      <c r="Q209" s="31">
        <v>8349029000</v>
      </c>
      <c r="R209" s="29">
        <v>2657845504</v>
      </c>
      <c r="S209" s="29">
        <v>8.6143522407147994</v>
      </c>
      <c r="T209" s="29">
        <v>9.8191868668167288</v>
      </c>
      <c r="U209" s="29">
        <v>5.835854633633363</v>
      </c>
      <c r="V209" s="29" t="e">
        <v>#N/A</v>
      </c>
      <c r="W209">
        <v>0.95733100853591346</v>
      </c>
      <c r="X209" t="s">
        <v>145</v>
      </c>
      <c r="Y209" t="s">
        <v>146</v>
      </c>
      <c r="Z209" t="s">
        <v>147</v>
      </c>
    </row>
    <row r="210" spans="2:26" x14ac:dyDescent="0.25">
      <c r="B210" t="s">
        <v>647</v>
      </c>
      <c r="C210" s="26" t="s">
        <v>648</v>
      </c>
      <c r="D210" s="26">
        <v>8.9918580369191162E-2</v>
      </c>
      <c r="E210" s="26">
        <v>6.3273158815927169E-2</v>
      </c>
      <c r="F210" s="26">
        <v>8.1529134711616977E-2</v>
      </c>
      <c r="G210" s="27">
        <v>5.890290561147362E-2</v>
      </c>
      <c r="H210" s="28">
        <v>4.9691811439703342</v>
      </c>
      <c r="I210" s="28" t="e">
        <v>#N/A</v>
      </c>
      <c r="J210" s="26" t="e">
        <v>#N/A</v>
      </c>
      <c r="K210" s="29">
        <v>2.427054337655897E-2</v>
      </c>
      <c r="L210" s="26" t="e">
        <v>#N/A</v>
      </c>
      <c r="M210" s="30">
        <v>4.0696069944074043E-2</v>
      </c>
      <c r="N210" s="29" t="e">
        <v>#N/A</v>
      </c>
      <c r="O210" s="31">
        <v>20.098065429154342</v>
      </c>
      <c r="P210" s="31">
        <v>11321736000</v>
      </c>
      <c r="Q210" s="31">
        <v>12161743000</v>
      </c>
      <c r="R210" s="29">
        <v>4911212544</v>
      </c>
      <c r="S210" s="29" t="e">
        <v>#N/A</v>
      </c>
      <c r="T210" s="29">
        <v>12.163697442327543</v>
      </c>
      <c r="U210" s="29">
        <v>37.521120975537229</v>
      </c>
      <c r="V210" s="29">
        <v>49.11350618314939</v>
      </c>
      <c r="W210">
        <v>0.60574815934000203</v>
      </c>
      <c r="X210" t="s">
        <v>66</v>
      </c>
      <c r="Y210" t="s">
        <v>72</v>
      </c>
      <c r="Z210" t="s">
        <v>109</v>
      </c>
    </row>
    <row r="211" spans="2:26" x14ac:dyDescent="0.25">
      <c r="B211" t="s">
        <v>649</v>
      </c>
      <c r="C211" s="26" t="s">
        <v>650</v>
      </c>
      <c r="D211" s="26">
        <v>-6.030529208178885E-2</v>
      </c>
      <c r="E211" s="26">
        <v>0.136310223266745</v>
      </c>
      <c r="F211" s="26">
        <v>-6.030529208178885E-2</v>
      </c>
      <c r="G211" s="27">
        <v>0.136310223266745</v>
      </c>
      <c r="H211" s="28">
        <v>6.8551236749116606</v>
      </c>
      <c r="I211" s="28">
        <v>19.051189302485149</v>
      </c>
      <c r="J211" s="26">
        <v>14.857142857142858</v>
      </c>
      <c r="K211" s="29">
        <v>2.3861260300930671E-2</v>
      </c>
      <c r="L211" s="26">
        <v>1.3379310344827586</v>
      </c>
      <c r="M211" s="30">
        <v>0.11914230658849576</v>
      </c>
      <c r="N211" s="29" t="e">
        <v>#N/A</v>
      </c>
      <c r="O211" s="31" t="e">
        <v>#N/A</v>
      </c>
      <c r="P211" s="31">
        <v>1702000000</v>
      </c>
      <c r="Q211" s="31">
        <v>1702000000</v>
      </c>
      <c r="R211" s="29">
        <v>3143335936</v>
      </c>
      <c r="S211" s="29">
        <v>8.5639906574712636</v>
      </c>
      <c r="T211" s="29">
        <v>13.696088</v>
      </c>
      <c r="U211" s="29">
        <v>-1.7179201046107977</v>
      </c>
      <c r="V211" s="29">
        <v>16.393782383419687</v>
      </c>
      <c r="W211">
        <v>1.0901049183757743</v>
      </c>
      <c r="X211" t="s">
        <v>66</v>
      </c>
      <c r="Y211" t="s">
        <v>84</v>
      </c>
      <c r="Z211" t="s">
        <v>237</v>
      </c>
    </row>
    <row r="212" spans="2:26" x14ac:dyDescent="0.25">
      <c r="B212" t="s">
        <v>651</v>
      </c>
      <c r="C212" s="26" t="s">
        <v>652</v>
      </c>
      <c r="D212" s="26">
        <v>8.648980172192805E-2</v>
      </c>
      <c r="E212" s="26">
        <v>0.11183023449386428</v>
      </c>
      <c r="F212" s="26">
        <v>8.648980172192805E-2</v>
      </c>
      <c r="G212" s="27">
        <v>0.11183023449386428</v>
      </c>
      <c r="H212" s="28">
        <v>23.891092159779383</v>
      </c>
      <c r="I212" s="28">
        <v>20.065159681660127</v>
      </c>
      <c r="J212" s="26">
        <v>24.201706218768408</v>
      </c>
      <c r="K212" s="29">
        <v>0.72609764210908867</v>
      </c>
      <c r="L212" s="26">
        <v>10.693894252568482</v>
      </c>
      <c r="M212" s="30">
        <v>0.18266089277119199</v>
      </c>
      <c r="N212" s="29" t="e">
        <v>#N/A</v>
      </c>
      <c r="O212" s="31">
        <v>30.158760333966804</v>
      </c>
      <c r="P212" s="31">
        <v>1102886000</v>
      </c>
      <c r="Q212" s="31">
        <v>1102886000</v>
      </c>
      <c r="R212" s="29">
        <v>232885744</v>
      </c>
      <c r="S212" s="29">
        <v>13.269408712385124</v>
      </c>
      <c r="T212" s="29">
        <v>13.956401433024705</v>
      </c>
      <c r="U212" s="29">
        <v>-149.18603175641357</v>
      </c>
      <c r="V212" s="29">
        <v>4.703605530392017</v>
      </c>
      <c r="W212">
        <v>0.98928740914095115</v>
      </c>
      <c r="X212" t="s">
        <v>66</v>
      </c>
      <c r="Y212" t="s">
        <v>78</v>
      </c>
      <c r="Z212" t="s">
        <v>121</v>
      </c>
    </row>
    <row r="213" spans="2:26" x14ac:dyDescent="0.25">
      <c r="B213" t="s">
        <v>653</v>
      </c>
      <c r="C213" s="26" t="s">
        <v>654</v>
      </c>
      <c r="D213" s="26">
        <v>0.19089138908265466</v>
      </c>
      <c r="E213" s="26">
        <v>0.13392941685716991</v>
      </c>
      <c r="F213" s="26">
        <v>0.18133673698944136</v>
      </c>
      <c r="G213" s="27">
        <v>9.531832141172393E-2</v>
      </c>
      <c r="H213" s="28" t="e">
        <v>#N/A</v>
      </c>
      <c r="I213" s="28">
        <v>7.608475738004719</v>
      </c>
      <c r="J213" s="26">
        <v>8.2463310815103448</v>
      </c>
      <c r="K213" s="29" t="e">
        <v>#N/A</v>
      </c>
      <c r="L213" s="26" t="e">
        <v>#N/A</v>
      </c>
      <c r="M213" s="30">
        <v>0.4650291492224744</v>
      </c>
      <c r="N213" s="29" t="e">
        <v>#N/A</v>
      </c>
      <c r="O213" s="31" t="e">
        <v>#N/A</v>
      </c>
      <c r="P213" s="31">
        <v>147854000</v>
      </c>
      <c r="Q213" s="31">
        <v>207746000</v>
      </c>
      <c r="R213" s="29">
        <v>341104832</v>
      </c>
      <c r="S213" s="29" t="e">
        <v>#N/A</v>
      </c>
      <c r="T213" s="29" t="e">
        <v>#N/A</v>
      </c>
      <c r="U213" s="29" t="e">
        <v>#N/A</v>
      </c>
      <c r="V213" s="29" t="e">
        <v>#N/A</v>
      </c>
      <c r="W213">
        <v>1.3258783090644379</v>
      </c>
      <c r="X213" t="s">
        <v>77</v>
      </c>
      <c r="Y213" t="s">
        <v>90</v>
      </c>
      <c r="Z213" t="s">
        <v>105</v>
      </c>
    </row>
    <row r="214" spans="2:26" x14ac:dyDescent="0.25">
      <c r="B214" t="s">
        <v>655</v>
      </c>
      <c r="C214" s="26" t="s">
        <v>656</v>
      </c>
      <c r="D214" s="26">
        <v>0.33233718897955089</v>
      </c>
      <c r="E214" s="26">
        <v>0.11727165498871261</v>
      </c>
      <c r="F214" s="26">
        <v>0.33089490175970304</v>
      </c>
      <c r="G214" s="27">
        <v>0.11638094762310409</v>
      </c>
      <c r="H214" s="28">
        <v>13.536240520886061</v>
      </c>
      <c r="I214" s="28" t="e">
        <v>#N/A</v>
      </c>
      <c r="J214" s="26" t="e">
        <v>#N/A</v>
      </c>
      <c r="K214" s="29">
        <v>5.9455886639056897E-2</v>
      </c>
      <c r="L214" s="26" t="e">
        <v>#N/A</v>
      </c>
      <c r="M214" s="30">
        <v>0.13695020596011287</v>
      </c>
      <c r="N214" s="29" t="e">
        <v>#N/A</v>
      </c>
      <c r="O214" s="31">
        <v>0.41328032906789147</v>
      </c>
      <c r="P214" s="31">
        <v>1152171000</v>
      </c>
      <c r="Q214" s="31">
        <v>1160989000</v>
      </c>
      <c r="R214" s="29">
        <v>1229317504</v>
      </c>
      <c r="S214" s="29" t="e">
        <v>#N/A</v>
      </c>
      <c r="T214" s="29">
        <v>9.12542740600413</v>
      </c>
      <c r="U214" s="29">
        <v>11.804598854878096</v>
      </c>
      <c r="V214" s="29">
        <v>10.969113368126045</v>
      </c>
      <c r="W214">
        <v>1.4328864140086051</v>
      </c>
      <c r="X214" t="s">
        <v>66</v>
      </c>
      <c r="Y214" t="s">
        <v>72</v>
      </c>
      <c r="Z214" t="s">
        <v>103</v>
      </c>
    </row>
    <row r="215" spans="2:26" x14ac:dyDescent="0.25">
      <c r="B215" t="s">
        <v>657</v>
      </c>
      <c r="C215" s="26" t="s">
        <v>658</v>
      </c>
      <c r="D215" s="26">
        <v>0.67632172876677354</v>
      </c>
      <c r="E215" s="26">
        <v>0.6093901438902557</v>
      </c>
      <c r="F215" s="26">
        <v>0.67632172876677354</v>
      </c>
      <c r="G215" s="27">
        <v>0.6093901438902557</v>
      </c>
      <c r="H215" s="28">
        <v>101.73946211254328</v>
      </c>
      <c r="I215" s="28">
        <v>20.825000923349911</v>
      </c>
      <c r="J215" s="26">
        <v>20.000582767563156</v>
      </c>
      <c r="K215" s="29">
        <v>0.49211367207962287</v>
      </c>
      <c r="L215" s="26">
        <v>1.7544962181342796</v>
      </c>
      <c r="M215" s="30">
        <v>0.17086432687270822</v>
      </c>
      <c r="N215" s="29" t="e">
        <v>#N/A</v>
      </c>
      <c r="O215" s="31">
        <v>4.6744962033593085</v>
      </c>
      <c r="P215" s="31">
        <v>160956000</v>
      </c>
      <c r="Q215" s="31">
        <v>160956000</v>
      </c>
      <c r="R215" s="29">
        <v>483365696</v>
      </c>
      <c r="S215" s="29">
        <v>6.2503006443178633</v>
      </c>
      <c r="T215" s="29">
        <v>7.0406199286833777</v>
      </c>
      <c r="U215" s="29">
        <v>9.5296377838116157</v>
      </c>
      <c r="V215" s="29">
        <v>6.7289028162301339</v>
      </c>
      <c r="W215">
        <v>7.0834152443928158</v>
      </c>
      <c r="X215" t="s">
        <v>76</v>
      </c>
      <c r="Y215" t="s">
        <v>95</v>
      </c>
      <c r="Z215" t="s">
        <v>95</v>
      </c>
    </row>
    <row r="216" spans="2:26" x14ac:dyDescent="0.25">
      <c r="B216" t="s">
        <v>659</v>
      </c>
      <c r="C216" s="26" t="s">
        <v>660</v>
      </c>
      <c r="D216" s="26">
        <v>2.8789957991852615E-2</v>
      </c>
      <c r="E216" s="26">
        <v>3.7877506100770376E-2</v>
      </c>
      <c r="F216" s="26">
        <v>2.8789957991852615E-2</v>
      </c>
      <c r="G216" s="27">
        <v>3.7877506100770376E-2</v>
      </c>
      <c r="H216" s="28">
        <v>0.44367464776498572</v>
      </c>
      <c r="I216" s="28">
        <v>28.596382663489937</v>
      </c>
      <c r="J216" s="26">
        <v>32.842235778732316</v>
      </c>
      <c r="K216" s="29">
        <v>0.79424316838078435</v>
      </c>
      <c r="L216" s="26">
        <v>9.8201232685997812</v>
      </c>
      <c r="M216" s="30">
        <v>0.11085283851064794</v>
      </c>
      <c r="N216" s="29">
        <v>4.386912978912285E-2</v>
      </c>
      <c r="O216" s="31">
        <v>35.686906717614256</v>
      </c>
      <c r="P216" s="31">
        <v>20898999999.999996</v>
      </c>
      <c r="Q216" s="31">
        <v>20898999999.999996</v>
      </c>
      <c r="R216" s="29">
        <v>5817860096</v>
      </c>
      <c r="S216" s="29">
        <v>12.709948395526313</v>
      </c>
      <c r="T216" s="29">
        <v>26.707046511651818</v>
      </c>
      <c r="U216" s="29">
        <v>2.9178597834745879</v>
      </c>
      <c r="V216" s="29">
        <v>121.58607347462426</v>
      </c>
      <c r="W216">
        <v>2.1617458801104039</v>
      </c>
      <c r="X216" t="s">
        <v>76</v>
      </c>
      <c r="Y216" t="s">
        <v>153</v>
      </c>
      <c r="Z216" t="s">
        <v>189</v>
      </c>
    </row>
    <row r="217" spans="2:26" x14ac:dyDescent="0.25">
      <c r="B217" t="s">
        <v>661</v>
      </c>
      <c r="C217" s="26" t="s">
        <v>662</v>
      </c>
      <c r="D217" s="26">
        <v>6.5281814998410362E-2</v>
      </c>
      <c r="E217" s="26">
        <v>0.12121296596821629</v>
      </c>
      <c r="F217" s="26">
        <v>6.5048567424505904E-2</v>
      </c>
      <c r="G217" s="27">
        <v>0.12078677881419662</v>
      </c>
      <c r="H217" s="28">
        <v>16.150598446946965</v>
      </c>
      <c r="I217" s="28">
        <v>5.2278765016142756</v>
      </c>
      <c r="J217" s="26">
        <v>6.4046146428589177</v>
      </c>
      <c r="K217" s="29">
        <v>0.32366380205032041</v>
      </c>
      <c r="L217" s="26">
        <v>5.1276966707496046</v>
      </c>
      <c r="M217" s="30">
        <v>0.14028940137048246</v>
      </c>
      <c r="N217" s="29" t="e">
        <v>#N/A</v>
      </c>
      <c r="O217" s="31">
        <v>15.851332645120404</v>
      </c>
      <c r="P217" s="31">
        <v>502207000</v>
      </c>
      <c r="Q217" s="31">
        <v>503979000</v>
      </c>
      <c r="R217" s="29">
        <v>388276160</v>
      </c>
      <c r="S217" s="29">
        <v>9.4123123779256463</v>
      </c>
      <c r="T217" s="29">
        <v>11.788122227289689</v>
      </c>
      <c r="U217" s="29">
        <v>7.0789821347774788</v>
      </c>
      <c r="V217" s="29">
        <v>12.624679519051591</v>
      </c>
      <c r="W217">
        <v>1.8860099276501419</v>
      </c>
      <c r="X217" t="s">
        <v>77</v>
      </c>
      <c r="Y217" t="s">
        <v>90</v>
      </c>
      <c r="Z217" t="s">
        <v>125</v>
      </c>
    </row>
    <row r="218" spans="2:26" x14ac:dyDescent="0.25">
      <c r="B218" t="s">
        <v>663</v>
      </c>
      <c r="C218" s="26" t="s">
        <v>664</v>
      </c>
      <c r="D218" s="26" t="e">
        <v>#N/A</v>
      </c>
      <c r="E218" s="26" t="e">
        <v>#N/A</v>
      </c>
      <c r="F218" s="26" t="e">
        <v>#N/A</v>
      </c>
      <c r="G218" s="27">
        <v>3.0255302268883032E-2</v>
      </c>
      <c r="H218" s="28" t="e">
        <v>#N/A</v>
      </c>
      <c r="I218" s="28" t="e">
        <v>#N/A</v>
      </c>
      <c r="J218" s="26">
        <v>7.957162254770509</v>
      </c>
      <c r="K218" s="29" t="e">
        <v>#N/A</v>
      </c>
      <c r="L218" s="26" t="e">
        <v>#N/A</v>
      </c>
      <c r="M218" s="30">
        <v>0.30370333430541296</v>
      </c>
      <c r="N218" s="29" t="e">
        <v>#N/A</v>
      </c>
      <c r="O218" s="31" t="e">
        <v>#N/A</v>
      </c>
      <c r="P218" s="31" t="e">
        <v>#N/A</v>
      </c>
      <c r="Q218" s="31">
        <v>1794892000</v>
      </c>
      <c r="R218" s="29">
        <v>1296013312</v>
      </c>
      <c r="S218" s="29" t="e">
        <v>#N/A</v>
      </c>
      <c r="T218" s="29" t="e">
        <v>#N/A</v>
      </c>
      <c r="U218" s="29" t="e">
        <v>#N/A</v>
      </c>
      <c r="V218" s="29" t="e">
        <v>#N/A</v>
      </c>
      <c r="W218">
        <v>1.2068927837755146</v>
      </c>
      <c r="X218" t="s">
        <v>66</v>
      </c>
      <c r="Y218" t="s">
        <v>78</v>
      </c>
      <c r="Z218" t="s">
        <v>121</v>
      </c>
    </row>
    <row r="219" spans="2:26" x14ac:dyDescent="0.25">
      <c r="B219" t="s">
        <v>665</v>
      </c>
      <c r="C219" s="26" t="s">
        <v>666</v>
      </c>
      <c r="D219" s="26">
        <v>0.1901612218814257</v>
      </c>
      <c r="E219" s="26">
        <v>0.27320729481588812</v>
      </c>
      <c r="F219" s="26">
        <v>-5.3064409033211009</v>
      </c>
      <c r="G219" s="27">
        <v>0.15643104290685733</v>
      </c>
      <c r="H219" s="28">
        <v>5.9915101205072228</v>
      </c>
      <c r="I219" s="28">
        <v>7.7327926894829373</v>
      </c>
      <c r="J219" s="26">
        <v>8.1557798042241476</v>
      </c>
      <c r="K219" s="29">
        <v>-4.2948191581538037E-2</v>
      </c>
      <c r="L219" s="26">
        <v>-0.90129993658845908</v>
      </c>
      <c r="M219" s="30">
        <v>0.15715032423571765</v>
      </c>
      <c r="N219" s="29" t="e">
        <v>#N/A</v>
      </c>
      <c r="O219" s="31">
        <v>12.423128959631574</v>
      </c>
      <c r="P219" s="31">
        <v>287108000</v>
      </c>
      <c r="Q219" s="31">
        <v>501435000</v>
      </c>
      <c r="R219" s="29">
        <v>922356160</v>
      </c>
      <c r="S219" s="29">
        <v>6.6434698795180722</v>
      </c>
      <c r="T219" s="29">
        <v>10.71982400941345</v>
      </c>
      <c r="U219" s="29">
        <v>23.034485940875591</v>
      </c>
      <c r="V219" s="29">
        <v>37.12330104162676</v>
      </c>
      <c r="W219">
        <v>2.2027214529835137</v>
      </c>
      <c r="X219" t="s">
        <v>73</v>
      </c>
      <c r="Y219" t="s">
        <v>96</v>
      </c>
      <c r="Z219" t="s">
        <v>200</v>
      </c>
    </row>
    <row r="220" spans="2:26" x14ac:dyDescent="0.25">
      <c r="B220" t="s">
        <v>667</v>
      </c>
      <c r="C220" s="26" t="s">
        <v>668</v>
      </c>
      <c r="D220" s="26" t="e">
        <v>#N/A</v>
      </c>
      <c r="E220" s="26" t="e">
        <v>#N/A</v>
      </c>
      <c r="F220" s="26" t="e">
        <v>#N/A</v>
      </c>
      <c r="G220" s="27" t="e">
        <v>#N/A</v>
      </c>
      <c r="H220" s="28" t="e">
        <v>#N/A</v>
      </c>
      <c r="I220" s="28" t="e">
        <v>#N/A</v>
      </c>
      <c r="J220" s="26" t="e">
        <v>#N/A</v>
      </c>
      <c r="K220" s="29" t="e">
        <v>#N/A</v>
      </c>
      <c r="L220" s="26" t="e">
        <v>#N/A</v>
      </c>
      <c r="M220" s="30" t="e">
        <v>#N/A</v>
      </c>
      <c r="N220" s="29" t="e">
        <v>#N/A</v>
      </c>
      <c r="O220" s="31" t="e">
        <v>#N/A</v>
      </c>
      <c r="P220" s="31" t="e">
        <v>#N/A</v>
      </c>
      <c r="Q220" s="31" t="e">
        <v>#N/A</v>
      </c>
      <c r="R220" s="29">
        <v>1254378880</v>
      </c>
      <c r="S220" s="29" t="e">
        <v>#N/A</v>
      </c>
      <c r="T220" s="29" t="e">
        <v>#N/A</v>
      </c>
      <c r="U220" s="29" t="e">
        <v>#N/A</v>
      </c>
      <c r="V220" s="29" t="e">
        <v>#N/A</v>
      </c>
      <c r="W220" t="e">
        <v>#N/A</v>
      </c>
      <c r="X220" t="s">
        <v>69</v>
      </c>
      <c r="Y220" t="s">
        <v>159</v>
      </c>
      <c r="Z220" t="s">
        <v>669</v>
      </c>
    </row>
    <row r="221" spans="2:26" x14ac:dyDescent="0.25">
      <c r="B221" t="s">
        <v>670</v>
      </c>
      <c r="C221" s="26" t="s">
        <v>671</v>
      </c>
      <c r="D221" s="26">
        <v>2.4279071875941159E-2</v>
      </c>
      <c r="E221" s="26">
        <v>3.3599944067017225E-2</v>
      </c>
      <c r="F221" s="26">
        <v>2.4279071875941159E-2</v>
      </c>
      <c r="G221" s="27">
        <v>3.3599944067017225E-2</v>
      </c>
      <c r="H221" s="28">
        <v>17.872071342228413</v>
      </c>
      <c r="I221" s="28">
        <v>50.751738628112051</v>
      </c>
      <c r="J221" s="26">
        <v>55.696746800162778</v>
      </c>
      <c r="K221" s="29">
        <v>0.46386043687730127</v>
      </c>
      <c r="L221" s="26">
        <v>4.42644925724003</v>
      </c>
      <c r="M221" s="30">
        <v>0.44116264747120465</v>
      </c>
      <c r="N221" s="29" t="e">
        <v>#N/A</v>
      </c>
      <c r="O221" s="31">
        <v>20.550763785095953</v>
      </c>
      <c r="P221" s="31">
        <v>21168190</v>
      </c>
      <c r="Q221" s="31">
        <v>21168190</v>
      </c>
      <c r="R221" s="29">
        <v>841668800</v>
      </c>
      <c r="S221" s="29">
        <v>355.30298937961595</v>
      </c>
      <c r="T221" s="29">
        <v>357.4019714306076</v>
      </c>
      <c r="U221" s="29">
        <v>-0.21157253304387683</v>
      </c>
      <c r="V221" s="29">
        <v>927.89623471954246</v>
      </c>
      <c r="W221">
        <v>83.79638813447859</v>
      </c>
      <c r="X221" t="s">
        <v>66</v>
      </c>
      <c r="Y221" t="s">
        <v>78</v>
      </c>
      <c r="Z221" t="s">
        <v>121</v>
      </c>
    </row>
    <row r="222" spans="2:26" x14ac:dyDescent="0.25">
      <c r="B222" t="s">
        <v>672</v>
      </c>
      <c r="C222" s="26" t="s">
        <v>673</v>
      </c>
      <c r="D222" s="26">
        <v>9.5963424495980165E-2</v>
      </c>
      <c r="E222" s="26">
        <v>7.7606066861904355E-2</v>
      </c>
      <c r="F222" s="26">
        <v>9.5730264417473815E-2</v>
      </c>
      <c r="G222" s="27">
        <v>7.748206543448799E-2</v>
      </c>
      <c r="H222" s="28" t="e">
        <v>#N/A</v>
      </c>
      <c r="I222" s="28">
        <v>22.318743854063676</v>
      </c>
      <c r="J222" s="26">
        <v>29.77123781243203</v>
      </c>
      <c r="K222" s="29">
        <v>0.57783443988684002</v>
      </c>
      <c r="L222" s="26" t="e">
        <v>#N/A</v>
      </c>
      <c r="M222" s="30">
        <v>0.29754088388198319</v>
      </c>
      <c r="N222" s="29" t="e">
        <v>#N/A</v>
      </c>
      <c r="O222" s="31" t="e">
        <v>#N/A</v>
      </c>
      <c r="P222" s="31">
        <v>547367000</v>
      </c>
      <c r="Q222" s="31">
        <v>548243000</v>
      </c>
      <c r="R222" s="29">
        <v>230103232</v>
      </c>
      <c r="S222" s="29" t="e">
        <v>#N/A</v>
      </c>
      <c r="T222" s="29" t="e">
        <v>#N/A</v>
      </c>
      <c r="U222" s="29" t="e">
        <v>#N/A</v>
      </c>
      <c r="V222" s="29" t="e">
        <v>#N/A</v>
      </c>
      <c r="W222">
        <v>1.080670710877736</v>
      </c>
      <c r="X222" t="s">
        <v>77</v>
      </c>
      <c r="Y222" t="s">
        <v>102</v>
      </c>
      <c r="Z222" t="s">
        <v>112</v>
      </c>
    </row>
    <row r="223" spans="2:26" x14ac:dyDescent="0.25">
      <c r="B223" t="s">
        <v>674</v>
      </c>
      <c r="C223" s="26" t="s">
        <v>675</v>
      </c>
      <c r="D223" s="26" t="e">
        <v>#N/A</v>
      </c>
      <c r="E223" s="26">
        <v>3.130957815311082E-2</v>
      </c>
      <c r="F223" s="26" t="e">
        <v>#N/A</v>
      </c>
      <c r="G223" s="27">
        <v>2.9466023097723081E-2</v>
      </c>
      <c r="H223" s="28">
        <v>-3.7275304142678567</v>
      </c>
      <c r="I223" s="28" t="e">
        <v>#N/A</v>
      </c>
      <c r="J223" s="26">
        <v>10.237897825116399</v>
      </c>
      <c r="K223" s="29">
        <v>0.42586428345673033</v>
      </c>
      <c r="L223" s="26">
        <v>6.8051794541156241</v>
      </c>
      <c r="M223" s="30">
        <v>0.25558491907084935</v>
      </c>
      <c r="N223" s="29">
        <v>2.4889271718960191E-2</v>
      </c>
      <c r="O223" s="31" t="e">
        <v>#N/A</v>
      </c>
      <c r="P223" s="31">
        <v>484133000</v>
      </c>
      <c r="Q223" s="31">
        <v>514423000</v>
      </c>
      <c r="R223" s="29">
        <v>300154720</v>
      </c>
      <c r="S223" s="29">
        <v>13.25664560498603</v>
      </c>
      <c r="T223" s="29">
        <v>112.02900835452233</v>
      </c>
      <c r="U223" s="29">
        <v>-20.201581371100875</v>
      </c>
      <c r="V223" s="29">
        <v>97.742499444006228</v>
      </c>
      <c r="W223">
        <v>1.4056292150774705</v>
      </c>
      <c r="X223" t="s">
        <v>77</v>
      </c>
      <c r="Y223" t="s">
        <v>85</v>
      </c>
      <c r="Z223" t="s">
        <v>114</v>
      </c>
    </row>
    <row r="224" spans="2:26" x14ac:dyDescent="0.25">
      <c r="B224" t="s">
        <v>676</v>
      </c>
      <c r="C224" s="26" t="s">
        <v>677</v>
      </c>
      <c r="D224" s="26">
        <v>0.11521176646273215</v>
      </c>
      <c r="E224" s="26">
        <v>0.11367352820223882</v>
      </c>
      <c r="F224" s="26">
        <v>0.10105412116821</v>
      </c>
      <c r="G224" s="27">
        <v>0.10274458728753412</v>
      </c>
      <c r="H224" s="28">
        <v>23.527766647753097</v>
      </c>
      <c r="I224" s="28">
        <v>8.3192531150818105</v>
      </c>
      <c r="J224" s="26">
        <v>10.563928941113115</v>
      </c>
      <c r="K224" s="29">
        <v>0.36555793960842642</v>
      </c>
      <c r="L224" s="26">
        <v>2.538385437277404</v>
      </c>
      <c r="M224" s="30">
        <v>0.39020927504720487</v>
      </c>
      <c r="N224" s="29" t="e">
        <v>#N/A</v>
      </c>
      <c r="O224" s="31">
        <v>7.0039054243539001</v>
      </c>
      <c r="P224" s="31">
        <v>617646000</v>
      </c>
      <c r="Q224" s="31">
        <v>683345000</v>
      </c>
      <c r="R224" s="29">
        <v>306897344</v>
      </c>
      <c r="S224" s="29">
        <v>4.7350570109484238</v>
      </c>
      <c r="T224" s="29">
        <v>5.8294305108967492</v>
      </c>
      <c r="U224" s="29">
        <v>-23.035389970660678</v>
      </c>
      <c r="V224" s="29">
        <v>4.5835106889220922</v>
      </c>
      <c r="W224">
        <v>0.75802919707139671</v>
      </c>
      <c r="X224" t="s">
        <v>77</v>
      </c>
      <c r="Y224" t="s">
        <v>90</v>
      </c>
      <c r="Z224" t="s">
        <v>105</v>
      </c>
    </row>
    <row r="225" spans="2:26" x14ac:dyDescent="0.25">
      <c r="B225" t="s">
        <v>678</v>
      </c>
      <c r="C225" s="26" t="s">
        <v>679</v>
      </c>
      <c r="D225" s="26">
        <v>0.15161719391278294</v>
      </c>
      <c r="E225" s="26">
        <v>0.2667603577762554</v>
      </c>
      <c r="F225" s="26">
        <v>0.15137325925612466</v>
      </c>
      <c r="G225" s="27">
        <v>0.26634086158291409</v>
      </c>
      <c r="H225" s="28">
        <v>10.247372260173732</v>
      </c>
      <c r="I225" s="28">
        <v>29.306886395852473</v>
      </c>
      <c r="J225" s="26">
        <v>37.301910468102079</v>
      </c>
      <c r="K225" s="29">
        <v>-0.130274046912011</v>
      </c>
      <c r="L225" s="26">
        <v>-2.2229851694609311</v>
      </c>
      <c r="M225" s="30">
        <v>0.26002132151061208</v>
      </c>
      <c r="N225" s="29" t="e">
        <v>#N/A</v>
      </c>
      <c r="O225" s="31">
        <v>8.0348837452730386</v>
      </c>
      <c r="P225" s="31">
        <v>312374000</v>
      </c>
      <c r="Q225" s="31">
        <v>312866000</v>
      </c>
      <c r="R225" s="29">
        <v>1945565440</v>
      </c>
      <c r="S225" s="29">
        <v>11.824621582983148</v>
      </c>
      <c r="T225" s="29">
        <v>18.946152084128691</v>
      </c>
      <c r="U225" s="29">
        <v>6.4168491808736077</v>
      </c>
      <c r="V225" s="29">
        <v>32.110982350335824</v>
      </c>
      <c r="W225">
        <v>3.2281490265049029</v>
      </c>
      <c r="X225" t="s">
        <v>66</v>
      </c>
      <c r="Y225" t="s">
        <v>84</v>
      </c>
      <c r="Z225" t="s">
        <v>165</v>
      </c>
    </row>
    <row r="226" spans="2:26" x14ac:dyDescent="0.25">
      <c r="B226" t="s">
        <v>680</v>
      </c>
      <c r="C226" s="26" t="s">
        <v>681</v>
      </c>
      <c r="D226" s="26" t="e">
        <v>#N/A</v>
      </c>
      <c r="E226" s="26" t="e">
        <v>#N/A</v>
      </c>
      <c r="F226" s="26" t="e">
        <v>#N/A</v>
      </c>
      <c r="G226" s="27" t="e">
        <v>#N/A</v>
      </c>
      <c r="H226" s="28" t="e">
        <v>#N/A</v>
      </c>
      <c r="I226" s="28" t="e">
        <v>#N/A</v>
      </c>
      <c r="J226" s="26" t="e">
        <v>#N/A</v>
      </c>
      <c r="K226" s="29" t="e">
        <v>#N/A</v>
      </c>
      <c r="L226" s="26" t="e">
        <v>#N/A</v>
      </c>
      <c r="M226" s="30" t="e">
        <v>#N/A</v>
      </c>
      <c r="N226" s="29" t="e">
        <v>#N/A</v>
      </c>
      <c r="O226" s="31" t="e">
        <v>#N/A</v>
      </c>
      <c r="P226" s="31" t="e">
        <v>#N/A</v>
      </c>
      <c r="Q226" s="31" t="e">
        <v>#N/A</v>
      </c>
      <c r="R226" s="29">
        <v>2865843200</v>
      </c>
      <c r="S226" s="29" t="e">
        <v>#N/A</v>
      </c>
      <c r="T226" s="29" t="e">
        <v>#N/A</v>
      </c>
      <c r="U226" s="29" t="e">
        <v>#N/A</v>
      </c>
      <c r="V226" s="29" t="e">
        <v>#N/A</v>
      </c>
      <c r="W226" t="e">
        <v>#N/A</v>
      </c>
      <c r="X226" t="s">
        <v>77</v>
      </c>
      <c r="Y226" t="s">
        <v>90</v>
      </c>
      <c r="Z226" t="s">
        <v>105</v>
      </c>
    </row>
    <row r="227" spans="2:26" x14ac:dyDescent="0.25">
      <c r="B227" t="s">
        <v>682</v>
      </c>
      <c r="C227" s="26" t="s">
        <v>683</v>
      </c>
      <c r="D227" s="26">
        <v>-20.301019084547136</v>
      </c>
      <c r="E227" s="26">
        <v>-3.1256072172102707</v>
      </c>
      <c r="F227" s="26">
        <v>-20.301019084547136</v>
      </c>
      <c r="G227" s="27">
        <v>-3.1256072172102707</v>
      </c>
      <c r="H227" s="28">
        <v>36.639580954939227</v>
      </c>
      <c r="I227" s="28">
        <v>58.732362136196841</v>
      </c>
      <c r="J227" s="26">
        <v>54.503963487869314</v>
      </c>
      <c r="K227" s="29">
        <v>-0.88873524093181577</v>
      </c>
      <c r="L227" s="26">
        <v>-2.7822177822177823</v>
      </c>
      <c r="M227" s="30">
        <v>0.73481544516540798</v>
      </c>
      <c r="N227" s="29" t="e">
        <v>#N/A</v>
      </c>
      <c r="O227" s="31">
        <v>8.6340214378036553</v>
      </c>
      <c r="P227" s="31">
        <v>-144100000</v>
      </c>
      <c r="Q227" s="31">
        <v>-144100000</v>
      </c>
      <c r="R227" s="29">
        <v>1138136192</v>
      </c>
      <c r="S227" s="29">
        <v>1.9636168631368631</v>
      </c>
      <c r="T227" s="29">
        <v>1.9867727223719676</v>
      </c>
      <c r="U227" s="29">
        <v>19.092403629798099</v>
      </c>
      <c r="V227" s="29">
        <v>5.9759247459269194</v>
      </c>
      <c r="W227">
        <v>2.0672480840479244</v>
      </c>
      <c r="X227" t="s">
        <v>66</v>
      </c>
      <c r="Y227" t="s">
        <v>84</v>
      </c>
      <c r="Z227" t="s">
        <v>165</v>
      </c>
    </row>
    <row r="228" spans="2:26" x14ac:dyDescent="0.25">
      <c r="B228" t="s">
        <v>684</v>
      </c>
      <c r="C228" s="26" t="s">
        <v>685</v>
      </c>
      <c r="D228" s="26" t="e">
        <v>#N/A</v>
      </c>
      <c r="E228" s="26" t="e">
        <v>#N/A</v>
      </c>
      <c r="F228" s="26" t="e">
        <v>#N/A</v>
      </c>
      <c r="G228" s="27" t="e">
        <v>#N/A</v>
      </c>
      <c r="H228" s="28" t="e">
        <v>#N/A</v>
      </c>
      <c r="I228" s="28" t="e">
        <v>#N/A</v>
      </c>
      <c r="J228" s="26" t="e">
        <v>#N/A</v>
      </c>
      <c r="K228" s="29" t="e">
        <v>#N/A</v>
      </c>
      <c r="L228" s="26" t="e">
        <v>#N/A</v>
      </c>
      <c r="M228" s="30" t="e">
        <v>#N/A</v>
      </c>
      <c r="N228" s="29" t="e">
        <v>#N/A</v>
      </c>
      <c r="O228" s="31" t="e">
        <v>#N/A</v>
      </c>
      <c r="P228" s="31" t="e">
        <v>#N/A</v>
      </c>
      <c r="Q228" s="31" t="e">
        <v>#N/A</v>
      </c>
      <c r="R228" s="29">
        <v>452540000</v>
      </c>
      <c r="S228" s="29" t="e">
        <v>#N/A</v>
      </c>
      <c r="T228" s="29" t="e">
        <v>#N/A</v>
      </c>
      <c r="U228" s="29" t="e">
        <v>#N/A</v>
      </c>
      <c r="V228" s="29" t="e">
        <v>#N/A</v>
      </c>
      <c r="W228" t="e">
        <v>#N/A</v>
      </c>
      <c r="X228" t="s">
        <v>106</v>
      </c>
      <c r="Y228" t="s">
        <v>107</v>
      </c>
      <c r="Z228" t="s">
        <v>179</v>
      </c>
    </row>
    <row r="229" spans="2:26" x14ac:dyDescent="0.25">
      <c r="B229" t="s">
        <v>686</v>
      </c>
      <c r="C229" s="26" t="s">
        <v>687</v>
      </c>
      <c r="D229" s="26">
        <v>0.42281241344214432</v>
      </c>
      <c r="E229" s="26">
        <v>0.63606628820980526</v>
      </c>
      <c r="F229" s="26">
        <v>0.46232292844121448</v>
      </c>
      <c r="G229" s="27">
        <v>0.71626554065107151</v>
      </c>
      <c r="H229" s="28" t="e">
        <v>#N/A</v>
      </c>
      <c r="I229" s="28">
        <v>-14.21274570194441</v>
      </c>
      <c r="J229" s="26">
        <v>-18.54689817290328</v>
      </c>
      <c r="K229" s="29">
        <v>2.6299880010602877E-2</v>
      </c>
      <c r="L229" s="26">
        <v>-0.47132669818911305</v>
      </c>
      <c r="M229" s="30">
        <v>-0.10575441143289643</v>
      </c>
      <c r="N229" s="29" t="e">
        <v>#N/A</v>
      </c>
      <c r="O229" s="31">
        <v>23.724393783144723</v>
      </c>
      <c r="P229" s="31">
        <v>-440561000</v>
      </c>
      <c r="Q229" s="31">
        <v>-391232000</v>
      </c>
      <c r="R229" s="29">
        <v>5375495168</v>
      </c>
      <c r="S229" s="29" t="e">
        <v>#N/A</v>
      </c>
      <c r="T229" s="29" t="e">
        <v>#N/A</v>
      </c>
      <c r="U229" s="29">
        <v>1.4106979474453505</v>
      </c>
      <c r="V229" s="29" t="e">
        <v>#N/A</v>
      </c>
      <c r="W229" t="e">
        <v>#N/A</v>
      </c>
      <c r="X229" t="s">
        <v>71</v>
      </c>
      <c r="Y229" t="s">
        <v>101</v>
      </c>
      <c r="Z229" t="s">
        <v>229</v>
      </c>
    </row>
    <row r="230" spans="2:26" x14ac:dyDescent="0.25">
      <c r="B230" t="s">
        <v>688</v>
      </c>
      <c r="C230" s="26" t="s">
        <v>689</v>
      </c>
      <c r="D230" s="26" t="e">
        <v>#N/A</v>
      </c>
      <c r="E230" s="26">
        <v>-1.5495700193887957E-2</v>
      </c>
      <c r="F230" s="26">
        <v>-1.6358763632134883E-4</v>
      </c>
      <c r="G230" s="27">
        <v>-1.5495700193887957E-2</v>
      </c>
      <c r="H230" s="28">
        <v>14.908066303050962</v>
      </c>
      <c r="I230" s="28">
        <v>1.1318585744703733</v>
      </c>
      <c r="J230" s="26">
        <v>-4.7030854528304307</v>
      </c>
      <c r="K230" s="29">
        <v>9.5659879207562235E-2</v>
      </c>
      <c r="L230" s="26">
        <v>1.2770955128450068</v>
      </c>
      <c r="M230" s="30">
        <v>0.26959518906231783</v>
      </c>
      <c r="N230" s="29" t="e">
        <v>#N/A</v>
      </c>
      <c r="O230" s="31">
        <v>8.0995312545532645</v>
      </c>
      <c r="P230" s="31">
        <v>1695309000</v>
      </c>
      <c r="Q230" s="31">
        <v>1695309000</v>
      </c>
      <c r="R230" s="29">
        <v>1262276992</v>
      </c>
      <c r="S230" s="29">
        <v>5.0787461745188693</v>
      </c>
      <c r="T230" s="29">
        <v>5.2794532161497294</v>
      </c>
      <c r="U230" s="29">
        <v>-5.0587153536582878</v>
      </c>
      <c r="V230" s="29" t="e">
        <v>#N/A</v>
      </c>
      <c r="W230">
        <v>1.0533334831115917</v>
      </c>
      <c r="X230" t="s">
        <v>73</v>
      </c>
      <c r="Y230" t="s">
        <v>180</v>
      </c>
      <c r="Z230" t="s">
        <v>249</v>
      </c>
    </row>
    <row r="231" spans="2:26" x14ac:dyDescent="0.25">
      <c r="B231" t="s">
        <v>690</v>
      </c>
      <c r="C231" s="26" t="s">
        <v>691</v>
      </c>
      <c r="D231" s="26">
        <v>0.44085807690417472</v>
      </c>
      <c r="E231" s="26">
        <v>0.23675534202361079</v>
      </c>
      <c r="F231" s="26">
        <v>0.17052696292629027</v>
      </c>
      <c r="G231" s="27">
        <v>0.1108232304538774</v>
      </c>
      <c r="H231" s="28">
        <v>-3.5153215950753629</v>
      </c>
      <c r="I231" s="28">
        <v>21.645286345292668</v>
      </c>
      <c r="J231" s="26">
        <v>28.008948545861298</v>
      </c>
      <c r="K231" s="29">
        <v>-8.8994880600337056E-2</v>
      </c>
      <c r="L231" s="26">
        <v>-0.99891143351714051</v>
      </c>
      <c r="M231" s="30">
        <v>0.61256973660142677</v>
      </c>
      <c r="N231" s="29" t="e">
        <v>#N/A</v>
      </c>
      <c r="O231" s="31">
        <v>5.1522379925638235</v>
      </c>
      <c r="P231" s="31">
        <v>216257000</v>
      </c>
      <c r="Q231" s="31">
        <v>461997000</v>
      </c>
      <c r="R231" s="29">
        <v>209283360</v>
      </c>
      <c r="S231" s="29">
        <v>3.6579300105287578</v>
      </c>
      <c r="T231" s="29" t="e">
        <v>#N/A</v>
      </c>
      <c r="U231" s="29">
        <v>12.568430077927793</v>
      </c>
      <c r="V231" s="29" t="e">
        <v>#N/A</v>
      </c>
      <c r="W231">
        <v>0.46886893612011232</v>
      </c>
      <c r="X231" t="s">
        <v>71</v>
      </c>
      <c r="Y231" t="s">
        <v>220</v>
      </c>
      <c r="Z231" t="s">
        <v>221</v>
      </c>
    </row>
    <row r="232" spans="2:26" x14ac:dyDescent="0.25">
      <c r="B232" t="s">
        <v>692</v>
      </c>
      <c r="C232" s="26" t="s">
        <v>693</v>
      </c>
      <c r="D232" s="26">
        <v>0.26595121358811924</v>
      </c>
      <c r="E232" s="26">
        <v>0.19754138533101701</v>
      </c>
      <c r="F232" s="26">
        <v>0.25876911311466083</v>
      </c>
      <c r="G232" s="27">
        <v>0.18591398192658823</v>
      </c>
      <c r="H232" s="28">
        <v>20.986392339670584</v>
      </c>
      <c r="I232" s="28">
        <v>21.237311189747423</v>
      </c>
      <c r="J232" s="26">
        <v>19.766669597953126</v>
      </c>
      <c r="K232" s="29">
        <v>0.26084384096934171</v>
      </c>
      <c r="L232" s="26">
        <v>1.3781415715558216</v>
      </c>
      <c r="M232" s="30">
        <v>0.51411098814610656</v>
      </c>
      <c r="N232" s="29" t="e">
        <v>#N/A</v>
      </c>
      <c r="O232" s="31">
        <v>4.4275192784121327</v>
      </c>
      <c r="P232" s="31">
        <v>914092000</v>
      </c>
      <c r="Q232" s="31">
        <v>971261000</v>
      </c>
      <c r="R232" s="29">
        <v>1409877248</v>
      </c>
      <c r="S232" s="29">
        <v>7.2466149197072998</v>
      </c>
      <c r="T232" s="29">
        <v>9.387662901112412</v>
      </c>
      <c r="U232" s="29">
        <v>5.4331680370516926</v>
      </c>
      <c r="V232" s="29">
        <v>10.590348139981542</v>
      </c>
      <c r="W232">
        <v>2.0563834010792421</v>
      </c>
      <c r="X232" t="s">
        <v>77</v>
      </c>
      <c r="Y232" t="s">
        <v>85</v>
      </c>
      <c r="Z232" t="s">
        <v>195</v>
      </c>
    </row>
    <row r="233" spans="2:26" x14ac:dyDescent="0.25">
      <c r="B233" t="s">
        <v>694</v>
      </c>
      <c r="C233" s="26" t="s">
        <v>695</v>
      </c>
      <c r="D233" s="26">
        <v>5.2430035469237045E-2</v>
      </c>
      <c r="E233" s="26">
        <v>5.1219745271399872E-2</v>
      </c>
      <c r="F233" s="26">
        <v>5.2362211283668914E-2</v>
      </c>
      <c r="G233" s="27">
        <v>5.1156238969451727E-2</v>
      </c>
      <c r="H233" s="28">
        <v>14.198399087712499</v>
      </c>
      <c r="I233" s="28">
        <v>13.386370387751171</v>
      </c>
      <c r="J233" s="26">
        <v>15.213200766246199</v>
      </c>
      <c r="K233" s="29">
        <v>0.54442295526541584</v>
      </c>
      <c r="L233" s="26">
        <v>9.9361397330589956</v>
      </c>
      <c r="M233" s="30">
        <v>0.2537960563579984</v>
      </c>
      <c r="N233" s="29" t="e">
        <v>#N/A</v>
      </c>
      <c r="O233" s="31">
        <v>6.4507078111604557</v>
      </c>
      <c r="P233" s="31">
        <v>13666624000</v>
      </c>
      <c r="Q233" s="31">
        <v>13683590000</v>
      </c>
      <c r="R233" s="29">
        <v>5010804224</v>
      </c>
      <c r="S233" s="29">
        <v>14.627897892637272</v>
      </c>
      <c r="T233" s="29">
        <v>15.784044527506566</v>
      </c>
      <c r="U233" s="29">
        <v>-38.187023768262875</v>
      </c>
      <c r="V233" s="29">
        <v>13.212737744176382</v>
      </c>
      <c r="W233">
        <v>1.0242085952879889</v>
      </c>
      <c r="X233" t="s">
        <v>66</v>
      </c>
      <c r="Y233" t="s">
        <v>78</v>
      </c>
      <c r="Z233" t="s">
        <v>121</v>
      </c>
    </row>
    <row r="234" spans="2:26" x14ac:dyDescent="0.25">
      <c r="B234" t="s">
        <v>696</v>
      </c>
      <c r="C234" s="26" t="s">
        <v>697</v>
      </c>
      <c r="D234" s="26">
        <v>0.41395643122537679</v>
      </c>
      <c r="E234" s="26">
        <v>2.9485622502546422</v>
      </c>
      <c r="F234" s="26">
        <v>0.7777073585893457</v>
      </c>
      <c r="G234" s="27">
        <v>-1.4730548297761989</v>
      </c>
      <c r="H234" s="28">
        <v>-17.11963777103751</v>
      </c>
      <c r="I234" s="28">
        <v>1.6864965669261962</v>
      </c>
      <c r="J234" s="26">
        <v>-21.4302614456406</v>
      </c>
      <c r="K234" s="29">
        <v>-0.38800796444062335</v>
      </c>
      <c r="L234" s="26">
        <v>4.7059522085445318</v>
      </c>
      <c r="M234" s="30">
        <v>0.37845875638474424</v>
      </c>
      <c r="N234" s="29" t="e">
        <v>#N/A</v>
      </c>
      <c r="O234" s="31">
        <v>17.791103730832805</v>
      </c>
      <c r="P234" s="31">
        <v>-51052000</v>
      </c>
      <c r="Q234" s="31">
        <v>102189000</v>
      </c>
      <c r="R234" s="29">
        <v>7004419072</v>
      </c>
      <c r="S234" s="29" t="e">
        <v>#N/A</v>
      </c>
      <c r="T234" s="29" t="e">
        <v>#N/A</v>
      </c>
      <c r="U234" s="29">
        <v>0.31482982062213194</v>
      </c>
      <c r="V234" s="29" t="e">
        <v>#N/A</v>
      </c>
      <c r="W234">
        <v>10.123558438747033</v>
      </c>
      <c r="X234" t="s">
        <v>91</v>
      </c>
      <c r="Y234" t="s">
        <v>92</v>
      </c>
      <c r="Z234" t="s">
        <v>233</v>
      </c>
    </row>
    <row r="235" spans="2:26" x14ac:dyDescent="0.25">
      <c r="B235" t="s">
        <v>698</v>
      </c>
      <c r="C235" s="26" t="s">
        <v>699</v>
      </c>
      <c r="D235" s="26">
        <v>7.5427545106327404E-2</v>
      </c>
      <c r="E235" s="26">
        <v>4.5670695462651081E-2</v>
      </c>
      <c r="F235" s="26">
        <v>7.4817001919683129E-2</v>
      </c>
      <c r="G235" s="27">
        <v>4.4356778600981431E-2</v>
      </c>
      <c r="H235" s="28">
        <v>8.5664933951276492</v>
      </c>
      <c r="I235" s="28">
        <v>17.263158687916093</v>
      </c>
      <c r="J235" s="26">
        <v>14.55584872471416</v>
      </c>
      <c r="K235" s="29">
        <v>0.51300185740820115</v>
      </c>
      <c r="L235" s="26">
        <v>8.091577592831726</v>
      </c>
      <c r="M235" s="30">
        <v>0.45142337553332867</v>
      </c>
      <c r="N235" s="29" t="e">
        <v>#N/A</v>
      </c>
      <c r="O235" s="31">
        <v>9.8610564650209618</v>
      </c>
      <c r="P235" s="31">
        <v>10094000000</v>
      </c>
      <c r="Q235" s="31">
        <v>10393000000</v>
      </c>
      <c r="R235" s="29">
        <v>8931614720</v>
      </c>
      <c r="S235" s="29">
        <v>18.94226338811853</v>
      </c>
      <c r="T235" s="29">
        <v>26.018595759170406</v>
      </c>
      <c r="U235" s="29">
        <v>-9.8926569013491878</v>
      </c>
      <c r="V235" s="29">
        <v>40.463899552221136</v>
      </c>
      <c r="W235">
        <v>2.9910849525167786</v>
      </c>
      <c r="X235" t="s">
        <v>77</v>
      </c>
      <c r="Y235" t="s">
        <v>85</v>
      </c>
      <c r="Z235" t="s">
        <v>195</v>
      </c>
    </row>
    <row r="236" spans="2:26" x14ac:dyDescent="0.25">
      <c r="B236" t="s">
        <v>700</v>
      </c>
      <c r="C236" s="26" t="s">
        <v>701</v>
      </c>
      <c r="D236" s="26">
        <v>0.47233479909000986</v>
      </c>
      <c r="E236" s="26">
        <v>0.13706670019908834</v>
      </c>
      <c r="F236" s="26">
        <v>0.37174451902787381</v>
      </c>
      <c r="G236" s="27">
        <v>0.13362520255259688</v>
      </c>
      <c r="H236" s="28">
        <v>13.345585624096113</v>
      </c>
      <c r="I236" s="28">
        <v>13.674221763387902</v>
      </c>
      <c r="J236" s="26">
        <v>7.4451227239612585</v>
      </c>
      <c r="K236" s="29">
        <v>-0.16217795714138078</v>
      </c>
      <c r="L236" s="26">
        <v>-1.7717848264983489</v>
      </c>
      <c r="M236" s="30">
        <v>0.53660260211452415</v>
      </c>
      <c r="N236" s="29" t="e">
        <v>#N/A</v>
      </c>
      <c r="O236" s="31">
        <v>37.448762277514881</v>
      </c>
      <c r="P236" s="31">
        <v>1210995000</v>
      </c>
      <c r="Q236" s="31">
        <v>1242184000</v>
      </c>
      <c r="R236" s="29">
        <v>8385261568</v>
      </c>
      <c r="S236" s="29">
        <v>17.911049901530212</v>
      </c>
      <c r="T236" s="29">
        <v>20.415585483577519</v>
      </c>
      <c r="U236" s="29">
        <v>-1.496220469481722</v>
      </c>
      <c r="V236" s="29">
        <v>31.266976876018614</v>
      </c>
      <c r="W236">
        <v>3.3271484671982936</v>
      </c>
      <c r="X236" t="s">
        <v>69</v>
      </c>
      <c r="Y236" t="s">
        <v>70</v>
      </c>
      <c r="Z236" t="s">
        <v>70</v>
      </c>
    </row>
    <row r="237" spans="2:26" x14ac:dyDescent="0.25">
      <c r="B237" t="s">
        <v>702</v>
      </c>
      <c r="C237" s="26" t="s">
        <v>703</v>
      </c>
      <c r="D237" s="26">
        <v>-1.2370698670428743E-2</v>
      </c>
      <c r="E237" s="26">
        <v>-0.30610554296274045</v>
      </c>
      <c r="F237" s="26">
        <v>-9.9785400099719236E-3</v>
      </c>
      <c r="G237" s="27">
        <v>-0.27023378042802149</v>
      </c>
      <c r="H237" s="28">
        <v>-6.5063729019901855</v>
      </c>
      <c r="I237" s="28">
        <v>5.813218584043355</v>
      </c>
      <c r="J237" s="26">
        <v>-19.772906400312319</v>
      </c>
      <c r="K237" s="29">
        <v>-0.66769484610695506</v>
      </c>
      <c r="L237" s="26">
        <v>9.6742661860399792</v>
      </c>
      <c r="M237" s="30">
        <v>0.90722861623989992</v>
      </c>
      <c r="N237" s="29" t="e">
        <v>#N/A</v>
      </c>
      <c r="O237" s="31">
        <v>18.045511577315157</v>
      </c>
      <c r="P237" s="31">
        <v>219702000</v>
      </c>
      <c r="Q237" s="31">
        <v>248866000</v>
      </c>
      <c r="R237" s="29">
        <v>1052932416</v>
      </c>
      <c r="S237" s="29" t="e">
        <v>#N/A</v>
      </c>
      <c r="T237" s="29" t="e">
        <v>#N/A</v>
      </c>
      <c r="U237" s="29">
        <v>-1.0585777184044831</v>
      </c>
      <c r="V237" s="29" t="e">
        <v>#N/A</v>
      </c>
      <c r="W237">
        <v>1.2476247030878862</v>
      </c>
      <c r="X237" t="s">
        <v>77</v>
      </c>
      <c r="Y237" t="s">
        <v>97</v>
      </c>
      <c r="Z237" t="s">
        <v>243</v>
      </c>
    </row>
    <row r="238" spans="2:26" x14ac:dyDescent="0.25">
      <c r="B238" t="s">
        <v>704</v>
      </c>
      <c r="C238" s="26" t="s">
        <v>705</v>
      </c>
      <c r="D238" s="26">
        <v>5.1201081235556258E-2</v>
      </c>
      <c r="E238" s="26">
        <v>6.0992907801418438E-3</v>
      </c>
      <c r="F238" s="26">
        <v>5.0839788919545902E-2</v>
      </c>
      <c r="G238" s="27">
        <v>5.7625301527740556E-3</v>
      </c>
      <c r="H238" s="28">
        <v>4.3248288736776601</v>
      </c>
      <c r="I238" s="28">
        <v>22.739819425287646</v>
      </c>
      <c r="J238" s="26">
        <v>13.129216398546964</v>
      </c>
      <c r="K238" s="29">
        <v>0.36494203149333793</v>
      </c>
      <c r="L238" s="26">
        <v>14.445205479452055</v>
      </c>
      <c r="M238" s="30">
        <v>0.43859649122807015</v>
      </c>
      <c r="N238" s="29" t="e">
        <v>#N/A</v>
      </c>
      <c r="O238" s="31">
        <v>11.157506211125172</v>
      </c>
      <c r="P238" s="31">
        <v>7050000000</v>
      </c>
      <c r="Q238" s="31">
        <v>7462000000</v>
      </c>
      <c r="R238" s="29">
        <v>5319175168</v>
      </c>
      <c r="S238" s="29">
        <v>37.404709479452052</v>
      </c>
      <c r="T238" s="29">
        <v>260.05178971428569</v>
      </c>
      <c r="U238" s="29">
        <v>-12.896736398661124</v>
      </c>
      <c r="V238" s="29">
        <v>39.193548387096776</v>
      </c>
      <c r="W238">
        <v>1.4109875161707635</v>
      </c>
      <c r="X238" t="s">
        <v>81</v>
      </c>
      <c r="Y238" t="s">
        <v>87</v>
      </c>
      <c r="Z238" t="s">
        <v>88</v>
      </c>
    </row>
    <row r="239" spans="2:26" x14ac:dyDescent="0.25">
      <c r="B239" t="s">
        <v>706</v>
      </c>
      <c r="C239" s="26" t="s">
        <v>707</v>
      </c>
      <c r="D239" s="26">
        <v>-1.113739231077499E-2</v>
      </c>
      <c r="E239" s="26">
        <v>-2.4562771090145333E-3</v>
      </c>
      <c r="F239" s="26">
        <v>-1.113739231077499E-2</v>
      </c>
      <c r="G239" s="27">
        <v>-2.4562771090145333E-3</v>
      </c>
      <c r="H239" s="28" t="e">
        <v>#N/A</v>
      </c>
      <c r="I239" s="28" t="e">
        <v>#N/A</v>
      </c>
      <c r="J239" s="26">
        <v>-18.464107877400803</v>
      </c>
      <c r="K239" s="29" t="e">
        <v>#N/A</v>
      </c>
      <c r="L239" s="26" t="e">
        <v>#N/A</v>
      </c>
      <c r="M239" s="30">
        <v>0.37410830345392154</v>
      </c>
      <c r="N239" s="29" t="e">
        <v>#N/A</v>
      </c>
      <c r="O239" s="31" t="e">
        <v>#N/A</v>
      </c>
      <c r="P239" s="31">
        <v>2676001000</v>
      </c>
      <c r="Q239" s="31">
        <v>2676001000</v>
      </c>
      <c r="R239" s="29">
        <v>610286656</v>
      </c>
      <c r="S239" s="29" t="e">
        <v>#N/A</v>
      </c>
      <c r="T239" s="29" t="e">
        <v>#N/A</v>
      </c>
      <c r="U239" s="29" t="e">
        <v>#N/A</v>
      </c>
      <c r="V239" s="29" t="e">
        <v>#N/A</v>
      </c>
      <c r="W239">
        <v>0.41717097776324391</v>
      </c>
      <c r="X239" t="s">
        <v>66</v>
      </c>
      <c r="Y239" t="s">
        <v>176</v>
      </c>
      <c r="Z239" t="s">
        <v>202</v>
      </c>
    </row>
    <row r="240" spans="2:26" x14ac:dyDescent="0.25">
      <c r="B240" t="s">
        <v>708</v>
      </c>
      <c r="C240" s="26" t="s">
        <v>709</v>
      </c>
      <c r="D240" s="26">
        <v>4.3736211095124371E-2</v>
      </c>
      <c r="E240" s="26">
        <v>4.6141353230679125E-2</v>
      </c>
      <c r="F240" s="26">
        <v>4.3736211095124371E-2</v>
      </c>
      <c r="G240" s="27">
        <v>4.6141353230679125E-2</v>
      </c>
      <c r="H240" s="28">
        <v>12.187242297338928</v>
      </c>
      <c r="I240" s="28" t="e">
        <v>#N/A</v>
      </c>
      <c r="J240" s="26" t="e">
        <v>#N/A</v>
      </c>
      <c r="K240" s="29">
        <v>0.42055916697512763</v>
      </c>
      <c r="L240" s="26" t="e">
        <v>#N/A</v>
      </c>
      <c r="M240" s="30">
        <v>0.53195205199335116</v>
      </c>
      <c r="N240" s="29" t="e">
        <v>#N/A</v>
      </c>
      <c r="O240" s="31">
        <v>37.162078594511627</v>
      </c>
      <c r="P240" s="31">
        <v>2677208000</v>
      </c>
      <c r="Q240" s="31">
        <v>2677208000</v>
      </c>
      <c r="R240" s="29">
        <v>1068785152</v>
      </c>
      <c r="S240" s="29" t="e">
        <v>#N/A</v>
      </c>
      <c r="T240" s="29">
        <v>8.93069463271088</v>
      </c>
      <c r="U240" s="29">
        <v>-9.7525681195092062</v>
      </c>
      <c r="V240" s="29">
        <v>11.652935500630893</v>
      </c>
      <c r="W240">
        <v>0.70579143029520397</v>
      </c>
      <c r="X240" t="s">
        <v>66</v>
      </c>
      <c r="Y240" t="s">
        <v>176</v>
      </c>
      <c r="Z240" t="s">
        <v>236</v>
      </c>
    </row>
    <row r="241" spans="2:26" x14ac:dyDescent="0.25">
      <c r="B241" t="s">
        <v>710</v>
      </c>
      <c r="C241" s="26" t="s">
        <v>711</v>
      </c>
      <c r="D241" s="26">
        <v>0.13603729882571822</v>
      </c>
      <c r="E241" s="26">
        <v>0.10569564725589518</v>
      </c>
      <c r="F241" s="26">
        <v>0.13603729882571822</v>
      </c>
      <c r="G241" s="27">
        <v>0.10569564725589518</v>
      </c>
      <c r="H241" s="28" t="e">
        <v>#N/A</v>
      </c>
      <c r="I241" s="28">
        <v>79.114425220172038</v>
      </c>
      <c r="J241" s="26">
        <v>61.596316857219222</v>
      </c>
      <c r="K241" s="29">
        <v>0.56714265337496228</v>
      </c>
      <c r="L241" s="26" t="e">
        <v>#N/A</v>
      </c>
      <c r="M241" s="30">
        <v>0.29725343518709291</v>
      </c>
      <c r="N241" s="29" t="e">
        <v>#N/A</v>
      </c>
      <c r="O241" s="31" t="e">
        <v>#N/A</v>
      </c>
      <c r="P241" s="31">
        <v>3587659305.9999995</v>
      </c>
      <c r="Q241" s="31">
        <v>3587659305.9999995</v>
      </c>
      <c r="R241" s="29">
        <v>1379646080</v>
      </c>
      <c r="S241" s="29" t="e">
        <v>#N/A</v>
      </c>
      <c r="T241" s="29" t="e">
        <v>#N/A</v>
      </c>
      <c r="U241" s="29" t="e">
        <v>#N/A</v>
      </c>
      <c r="V241" s="29" t="e">
        <v>#N/A</v>
      </c>
      <c r="W241">
        <v>0.99694130316178442</v>
      </c>
      <c r="X241" t="s">
        <v>69</v>
      </c>
      <c r="Y241" t="s">
        <v>159</v>
      </c>
      <c r="Z241" t="s">
        <v>186</v>
      </c>
    </row>
    <row r="242" spans="2:26" x14ac:dyDescent="0.25">
      <c r="B242" t="s">
        <v>712</v>
      </c>
      <c r="C242" s="26" t="s">
        <v>713</v>
      </c>
      <c r="D242" s="26">
        <v>0.7895398884963053</v>
      </c>
      <c r="E242" s="26">
        <v>0.33240908347913478</v>
      </c>
      <c r="F242" s="26">
        <v>0.78059777797122898</v>
      </c>
      <c r="G242" s="27">
        <v>0.32981733212395709</v>
      </c>
      <c r="H242" s="28">
        <v>21.919586393591764</v>
      </c>
      <c r="I242" s="28">
        <v>25.236927419904685</v>
      </c>
      <c r="J242" s="26">
        <v>16.95962737329414</v>
      </c>
      <c r="K242" s="29">
        <v>-3.1563977608290009E-2</v>
      </c>
      <c r="L242" s="26">
        <v>-0.21846200142941333</v>
      </c>
      <c r="M242" s="30">
        <v>0.5417540232211796</v>
      </c>
      <c r="N242" s="29" t="e">
        <v>#N/A</v>
      </c>
      <c r="O242" s="31">
        <v>29.829820334838338</v>
      </c>
      <c r="P242" s="31">
        <v>165179000</v>
      </c>
      <c r="Q242" s="31">
        <v>166477000</v>
      </c>
      <c r="R242" s="29">
        <v>533039520</v>
      </c>
      <c r="S242" s="29">
        <v>7.1442017228192043</v>
      </c>
      <c r="T242" s="29">
        <v>7.9376369791448989</v>
      </c>
      <c r="U242" s="29">
        <v>-10.187424752296039</v>
      </c>
      <c r="V242" s="29">
        <v>14.485301735550193</v>
      </c>
      <c r="W242">
        <v>2.182468958553041</v>
      </c>
      <c r="X242" t="s">
        <v>66</v>
      </c>
      <c r="Y242" t="s">
        <v>84</v>
      </c>
      <c r="Z242" t="s">
        <v>151</v>
      </c>
    </row>
    <row r="243" spans="2:26" x14ac:dyDescent="0.25">
      <c r="B243" t="s">
        <v>714</v>
      </c>
      <c r="C243" s="26" t="s">
        <v>715</v>
      </c>
      <c r="D243" s="26">
        <v>0.18864729541950095</v>
      </c>
      <c r="E243" s="26">
        <v>0.16412128117934019</v>
      </c>
      <c r="F243" s="26">
        <v>0.10894958412538196</v>
      </c>
      <c r="G243" s="27">
        <v>0.11757368284109403</v>
      </c>
      <c r="H243" s="28">
        <v>7.8049572684273567</v>
      </c>
      <c r="I243" s="28">
        <v>18.01597232814331</v>
      </c>
      <c r="J243" s="26">
        <v>16.501071992778154</v>
      </c>
      <c r="K243" s="29">
        <v>-4.2362878381998398E-2</v>
      </c>
      <c r="L243" s="26">
        <v>-0.33162947671942072</v>
      </c>
      <c r="M243" s="30">
        <v>0.97808641413899222</v>
      </c>
      <c r="N243" s="29">
        <v>4.1004322460259347E-2</v>
      </c>
      <c r="O243" s="31">
        <v>20.817273529192509</v>
      </c>
      <c r="P243" s="31">
        <v>280835000</v>
      </c>
      <c r="Q243" s="31">
        <v>392018000</v>
      </c>
      <c r="R243" s="29">
        <v>3495348736</v>
      </c>
      <c r="S243" s="29">
        <v>7.2383772731740885</v>
      </c>
      <c r="T243" s="29">
        <v>10.067587376096617</v>
      </c>
      <c r="U243" s="29" t="e">
        <v>#N/A</v>
      </c>
      <c r="V243" s="29">
        <v>11.368923049557976</v>
      </c>
      <c r="W243">
        <v>0.9912397284917871</v>
      </c>
      <c r="X243" t="s">
        <v>73</v>
      </c>
      <c r="Y243" t="s">
        <v>203</v>
      </c>
      <c r="Z243" t="s">
        <v>204</v>
      </c>
    </row>
    <row r="244" spans="2:26" x14ac:dyDescent="0.25">
      <c r="B244" t="s">
        <v>716</v>
      </c>
      <c r="C244" s="26" t="s">
        <v>717</v>
      </c>
      <c r="D244" s="26">
        <v>1.6154511657593931E-2</v>
      </c>
      <c r="E244" s="26">
        <v>8.1021354379356231E-2</v>
      </c>
      <c r="F244" s="26">
        <v>1.6154511657593931E-2</v>
      </c>
      <c r="G244" s="27">
        <v>8.1021354379356231E-2</v>
      </c>
      <c r="H244" s="28" t="e">
        <v>#N/A</v>
      </c>
      <c r="I244" s="28" t="e">
        <v>#N/A</v>
      </c>
      <c r="J244" s="26">
        <v>61.246628259349293</v>
      </c>
      <c r="K244" s="29">
        <v>0.48099440865800691</v>
      </c>
      <c r="L244" s="26" t="e">
        <v>#N/A</v>
      </c>
      <c r="M244" s="30">
        <v>0.37929407658647102</v>
      </c>
      <c r="N244" s="29" t="e">
        <v>#N/A</v>
      </c>
      <c r="O244" s="31" t="e">
        <v>#N/A</v>
      </c>
      <c r="P244" s="31">
        <v>719946000</v>
      </c>
      <c r="Q244" s="31">
        <v>719946000</v>
      </c>
      <c r="R244" s="29">
        <v>2368736256</v>
      </c>
      <c r="S244" s="29" t="e">
        <v>#N/A</v>
      </c>
      <c r="T244" s="29" t="e">
        <v>#N/A</v>
      </c>
      <c r="U244" s="29" t="e">
        <v>#N/A</v>
      </c>
      <c r="V244" s="29" t="e">
        <v>#N/A</v>
      </c>
      <c r="W244">
        <v>2.0957888313229285</v>
      </c>
      <c r="X244" t="s">
        <v>69</v>
      </c>
      <c r="Y244" t="s">
        <v>159</v>
      </c>
      <c r="Z244" t="s">
        <v>186</v>
      </c>
    </row>
    <row r="245" spans="2:26" x14ac:dyDescent="0.25">
      <c r="B245" t="s">
        <v>718</v>
      </c>
      <c r="C245" s="26" t="s">
        <v>719</v>
      </c>
      <c r="D245" s="26">
        <v>4.8221796233989311E-2</v>
      </c>
      <c r="E245" s="26">
        <v>1.175615508162726E-2</v>
      </c>
      <c r="F245" s="26">
        <v>2.8985269358634786E-2</v>
      </c>
      <c r="G245" s="27">
        <v>1.0519936370985807E-2</v>
      </c>
      <c r="H245" s="28" t="e">
        <v>#N/A</v>
      </c>
      <c r="I245" s="28">
        <v>21.202859664428555</v>
      </c>
      <c r="J245" s="26">
        <v>34.030952426878585</v>
      </c>
      <c r="K245" s="29">
        <v>0.86606956430957682</v>
      </c>
      <c r="L245" s="26" t="e">
        <v>#N/A</v>
      </c>
      <c r="M245" s="30">
        <v>8.4290227789575803E-2</v>
      </c>
      <c r="N245" s="29" t="e">
        <v>#N/A</v>
      </c>
      <c r="O245" s="31" t="e">
        <v>#N/A</v>
      </c>
      <c r="P245" s="31">
        <v>786992000</v>
      </c>
      <c r="Q245" s="31">
        <v>879473000</v>
      </c>
      <c r="R245" s="29">
        <v>502700000</v>
      </c>
      <c r="S245" s="29" t="e">
        <v>#N/A</v>
      </c>
      <c r="T245" s="29" t="e">
        <v>#N/A</v>
      </c>
      <c r="U245" s="29" t="e">
        <v>#N/A</v>
      </c>
      <c r="V245" s="29" t="e">
        <v>#N/A</v>
      </c>
      <c r="W245">
        <v>4.8048576188260332</v>
      </c>
      <c r="X245" t="s">
        <v>76</v>
      </c>
      <c r="Y245" t="s">
        <v>209</v>
      </c>
      <c r="Z245" t="s">
        <v>227</v>
      </c>
    </row>
    <row r="246" spans="2:26" x14ac:dyDescent="0.25">
      <c r="B246" t="s">
        <v>720</v>
      </c>
      <c r="C246" s="26" t="s">
        <v>721</v>
      </c>
      <c r="D246" s="26">
        <v>2.3966902895968128E-2</v>
      </c>
      <c r="E246" s="26">
        <v>2.0292120934175508E-2</v>
      </c>
      <c r="F246" s="26">
        <v>2.3966902895968128E-2</v>
      </c>
      <c r="G246" s="27">
        <v>2.0292120934175508E-2</v>
      </c>
      <c r="H246" s="28" t="e">
        <v>#N/A</v>
      </c>
      <c r="I246" s="28">
        <v>43.387626721585129</v>
      </c>
      <c r="J246" s="26">
        <v>43.419059865695097</v>
      </c>
      <c r="K246" s="29" t="e">
        <v>#N/A</v>
      </c>
      <c r="L246" s="26" t="e">
        <v>#N/A</v>
      </c>
      <c r="M246" s="30">
        <v>0.2838478471559619</v>
      </c>
      <c r="N246" s="29" t="e">
        <v>#N/A</v>
      </c>
      <c r="O246" s="31" t="e">
        <v>#N/A</v>
      </c>
      <c r="P246" s="31">
        <v>1439130000</v>
      </c>
      <c r="Q246" s="31">
        <v>1439130000</v>
      </c>
      <c r="R246" s="29">
        <v>432044160</v>
      </c>
      <c r="S246" s="29" t="e">
        <v>#N/A</v>
      </c>
      <c r="T246" s="29" t="e">
        <v>#N/A</v>
      </c>
      <c r="U246" s="29" t="e">
        <v>#N/A</v>
      </c>
      <c r="V246" s="29" t="e">
        <v>#N/A</v>
      </c>
      <c r="W246">
        <v>0.63099467139937782</v>
      </c>
      <c r="X246" t="s">
        <v>66</v>
      </c>
      <c r="Y246" t="s">
        <v>78</v>
      </c>
      <c r="Z246" t="s">
        <v>121</v>
      </c>
    </row>
    <row r="247" spans="2:26" x14ac:dyDescent="0.25">
      <c r="B247" t="s">
        <v>722</v>
      </c>
      <c r="C247" s="26" t="s">
        <v>723</v>
      </c>
      <c r="D247" s="26">
        <v>-5.5818217366980429E-2</v>
      </c>
      <c r="E247" s="26">
        <v>-7.3066451746066075E-2</v>
      </c>
      <c r="F247" s="26">
        <v>-5.5818217366980429E-2</v>
      </c>
      <c r="G247" s="27">
        <v>-7.3066451746066075E-2</v>
      </c>
      <c r="H247" s="28" t="e">
        <v>#N/A</v>
      </c>
      <c r="I247" s="28">
        <v>-701.80680243274594</v>
      </c>
      <c r="J247" s="26">
        <v>-2141.818181818182</v>
      </c>
      <c r="K247" s="29" t="e">
        <v>#N/A</v>
      </c>
      <c r="L247" s="26" t="e">
        <v>#N/A</v>
      </c>
      <c r="M247" s="30">
        <v>0.31386635410630565</v>
      </c>
      <c r="N247" s="29" t="e">
        <v>#N/A</v>
      </c>
      <c r="O247" s="31" t="e">
        <v>#N/A</v>
      </c>
      <c r="P247" s="31">
        <v>101742999.99999999</v>
      </c>
      <c r="Q247" s="31">
        <v>101742999.99999999</v>
      </c>
      <c r="R247" s="29">
        <v>260341136</v>
      </c>
      <c r="S247" s="29" t="e">
        <v>#N/A</v>
      </c>
      <c r="T247" s="29" t="e">
        <v>#N/A</v>
      </c>
      <c r="U247" s="29" t="e">
        <v>#N/A</v>
      </c>
      <c r="V247" s="29" t="e">
        <v>#N/A</v>
      </c>
      <c r="W247">
        <v>5.5264740821091944</v>
      </c>
      <c r="X247" t="s">
        <v>69</v>
      </c>
      <c r="Y247" t="s">
        <v>70</v>
      </c>
      <c r="Z247" t="s">
        <v>70</v>
      </c>
    </row>
    <row r="248" spans="2:26" x14ac:dyDescent="0.25">
      <c r="B248" t="s">
        <v>724</v>
      </c>
      <c r="C248" s="26" t="s">
        <v>725</v>
      </c>
      <c r="D248" s="26" t="e">
        <v>#N/A</v>
      </c>
      <c r="E248" s="26">
        <v>7.2293648500516991E-2</v>
      </c>
      <c r="F248" s="26" t="e">
        <v>#N/A</v>
      </c>
      <c r="G248" s="27">
        <v>7.2293648500516991E-2</v>
      </c>
      <c r="H248" s="28">
        <v>4.8796201775525612</v>
      </c>
      <c r="I248" s="28" t="e">
        <v>#N/A</v>
      </c>
      <c r="J248" s="26">
        <v>66.344919010729541</v>
      </c>
      <c r="K248" s="29">
        <v>0.26842654552151762</v>
      </c>
      <c r="L248" s="26">
        <v>2.9498937936636391</v>
      </c>
      <c r="M248" s="30">
        <v>0.59033703726441156</v>
      </c>
      <c r="N248" s="29" t="e">
        <v>#N/A</v>
      </c>
      <c r="O248" s="31" t="e">
        <v>#N/A</v>
      </c>
      <c r="P248" s="31">
        <v>504244294.39999998</v>
      </c>
      <c r="Q248" s="31">
        <v>504244294.39999998</v>
      </c>
      <c r="R248" s="29">
        <v>216410816</v>
      </c>
      <c r="S248" s="29">
        <v>6.8847876447939598</v>
      </c>
      <c r="T248" s="29">
        <v>10.047250538449175</v>
      </c>
      <c r="U248" s="29">
        <v>15.873612731216504</v>
      </c>
      <c r="V248" s="29">
        <v>13.220910790214795</v>
      </c>
      <c r="W248">
        <v>0.60652971140718848</v>
      </c>
      <c r="X248" t="s">
        <v>69</v>
      </c>
      <c r="Y248" t="s">
        <v>159</v>
      </c>
      <c r="Z248" t="s">
        <v>186</v>
      </c>
    </row>
    <row r="249" spans="2:26" x14ac:dyDescent="0.25">
      <c r="B249" t="s">
        <v>726</v>
      </c>
      <c r="C249" s="26" t="s">
        <v>727</v>
      </c>
      <c r="D249" s="26">
        <v>1.2381038845687321E-2</v>
      </c>
      <c r="E249" s="26">
        <v>7.6900469676217303E-2</v>
      </c>
      <c r="F249" s="26">
        <v>1.2381038845687321E-2</v>
      </c>
      <c r="G249" s="27">
        <v>7.6900469676217303E-2</v>
      </c>
      <c r="H249" s="28">
        <v>7.4605903894365184</v>
      </c>
      <c r="I249" s="28" t="e">
        <v>#N/A</v>
      </c>
      <c r="J249" s="26">
        <v>-0.60059451151511223</v>
      </c>
      <c r="K249" s="29">
        <v>-1.3604430229963554E-2</v>
      </c>
      <c r="L249" s="26" t="e">
        <v>#N/A</v>
      </c>
      <c r="M249" s="30">
        <v>0.6078637934182145</v>
      </c>
      <c r="N249" s="29" t="e">
        <v>#N/A</v>
      </c>
      <c r="O249" s="31" t="e">
        <v>#N/A</v>
      </c>
      <c r="P249" s="31">
        <v>180337000</v>
      </c>
      <c r="Q249" s="31">
        <v>180337000</v>
      </c>
      <c r="R249" s="29">
        <v>418829856</v>
      </c>
      <c r="S249" s="29" t="e">
        <v>#N/A</v>
      </c>
      <c r="T249" s="29">
        <v>39.172577527875724</v>
      </c>
      <c r="U249" s="29" t="e">
        <v>#N/A</v>
      </c>
      <c r="V249" s="29">
        <v>12.72411550209768</v>
      </c>
      <c r="W249">
        <v>0.93690145094426525</v>
      </c>
      <c r="X249" t="s">
        <v>73</v>
      </c>
      <c r="Y249" t="s">
        <v>74</v>
      </c>
      <c r="Z249" t="s">
        <v>188</v>
      </c>
    </row>
    <row r="250" spans="2:26" x14ac:dyDescent="0.25">
      <c r="B250" t="s">
        <v>728</v>
      </c>
      <c r="C250" s="26" t="s">
        <v>729</v>
      </c>
      <c r="D250" s="26" t="e">
        <v>#N/A</v>
      </c>
      <c r="E250" s="26" t="e">
        <v>#N/A</v>
      </c>
      <c r="F250" s="26" t="e">
        <v>#N/A</v>
      </c>
      <c r="G250" s="27" t="e">
        <v>#N/A</v>
      </c>
      <c r="H250" s="28" t="e">
        <v>#N/A</v>
      </c>
      <c r="I250" s="28" t="e">
        <v>#N/A</v>
      </c>
      <c r="J250" s="26" t="e">
        <v>#N/A</v>
      </c>
      <c r="K250" s="29" t="e">
        <v>#N/A</v>
      </c>
      <c r="L250" s="26" t="e">
        <v>#N/A</v>
      </c>
      <c r="M250" s="30" t="e">
        <v>#N/A</v>
      </c>
      <c r="N250" s="29" t="e">
        <v>#N/A</v>
      </c>
      <c r="O250" s="31" t="e">
        <v>#N/A</v>
      </c>
      <c r="P250" s="31" t="e">
        <v>#N/A</v>
      </c>
      <c r="Q250" s="31" t="e">
        <v>#N/A</v>
      </c>
      <c r="R250" s="29">
        <v>287859456</v>
      </c>
      <c r="S250" s="29" t="e">
        <v>#N/A</v>
      </c>
      <c r="T250" s="29" t="e">
        <v>#N/A</v>
      </c>
      <c r="U250" s="29" t="e">
        <v>#N/A</v>
      </c>
      <c r="V250" s="29" t="e">
        <v>#N/A</v>
      </c>
      <c r="W250" t="e">
        <v>#N/A</v>
      </c>
      <c r="X250" t="s">
        <v>66</v>
      </c>
      <c r="Y250" t="s">
        <v>108</v>
      </c>
      <c r="Z250" t="s">
        <v>108</v>
      </c>
    </row>
    <row r="251" spans="2:26" x14ac:dyDescent="0.25">
      <c r="B251" t="s">
        <v>730</v>
      </c>
      <c r="C251" s="26" t="s">
        <v>731</v>
      </c>
      <c r="D251" s="26" t="e">
        <v>#N/A</v>
      </c>
      <c r="E251" s="26" t="e">
        <v>#N/A</v>
      </c>
      <c r="F251" s="26" t="e">
        <v>#N/A</v>
      </c>
      <c r="G251" s="27" t="e">
        <v>#N/A</v>
      </c>
      <c r="H251" s="28" t="e">
        <v>#N/A</v>
      </c>
      <c r="I251" s="28" t="e">
        <v>#N/A</v>
      </c>
      <c r="J251" s="26" t="e">
        <v>#N/A</v>
      </c>
      <c r="K251" s="29" t="e">
        <v>#N/A</v>
      </c>
      <c r="L251" s="26" t="e">
        <v>#N/A</v>
      </c>
      <c r="M251" s="30" t="e">
        <v>#N/A</v>
      </c>
      <c r="N251" s="29" t="e">
        <v>#N/A</v>
      </c>
      <c r="O251" s="31" t="e">
        <v>#N/A</v>
      </c>
      <c r="P251" s="31" t="e">
        <v>#N/A</v>
      </c>
      <c r="Q251" s="31" t="e">
        <v>#N/A</v>
      </c>
      <c r="R251" s="29">
        <v>1250382080</v>
      </c>
      <c r="S251" s="29" t="e">
        <v>#N/A</v>
      </c>
      <c r="T251" s="29" t="e">
        <v>#N/A</v>
      </c>
      <c r="U251" s="29" t="e">
        <v>#N/A</v>
      </c>
      <c r="V251" s="29" t="e">
        <v>#N/A</v>
      </c>
      <c r="W251" t="e">
        <v>#N/A</v>
      </c>
      <c r="X251" t="s">
        <v>66</v>
      </c>
      <c r="Y251" t="s">
        <v>108</v>
      </c>
      <c r="Z251" t="s">
        <v>108</v>
      </c>
    </row>
    <row r="252" spans="2:26" x14ac:dyDescent="0.25">
      <c r="B252" t="s">
        <v>732</v>
      </c>
      <c r="C252" s="26" t="s">
        <v>733</v>
      </c>
      <c r="D252" s="26" t="e">
        <v>#N/A</v>
      </c>
      <c r="E252" s="26" t="e">
        <v>#N/A</v>
      </c>
      <c r="F252" s="26" t="e">
        <v>#N/A</v>
      </c>
      <c r="G252" s="27" t="e">
        <v>#N/A</v>
      </c>
      <c r="H252" s="28" t="e">
        <v>#N/A</v>
      </c>
      <c r="I252" s="28" t="e">
        <v>#N/A</v>
      </c>
      <c r="J252" s="26" t="e">
        <v>#N/A</v>
      </c>
      <c r="K252" s="29" t="e">
        <v>#N/A</v>
      </c>
      <c r="L252" s="26" t="e">
        <v>#N/A</v>
      </c>
      <c r="M252" s="30" t="e">
        <v>#N/A</v>
      </c>
      <c r="N252" s="29" t="e">
        <v>#N/A</v>
      </c>
      <c r="O252" s="31" t="e">
        <v>#N/A</v>
      </c>
      <c r="P252" s="31" t="e">
        <v>#N/A</v>
      </c>
      <c r="Q252" s="31" t="e">
        <v>#N/A</v>
      </c>
      <c r="R252" s="29">
        <v>254642816</v>
      </c>
      <c r="S252" s="29" t="e">
        <v>#N/A</v>
      </c>
      <c r="T252" s="29" t="e">
        <v>#N/A</v>
      </c>
      <c r="U252" s="29" t="e">
        <v>#N/A</v>
      </c>
      <c r="V252" s="29" t="e">
        <v>#N/A</v>
      </c>
      <c r="W252" t="e">
        <v>#N/A</v>
      </c>
      <c r="X252" t="s">
        <v>66</v>
      </c>
      <c r="Y252" t="s">
        <v>108</v>
      </c>
      <c r="Z252" t="s">
        <v>108</v>
      </c>
    </row>
    <row r="253" spans="2:26" x14ac:dyDescent="0.25">
      <c r="B253" t="s">
        <v>734</v>
      </c>
      <c r="C253" s="26" t="s">
        <v>733</v>
      </c>
      <c r="D253" s="26" t="e">
        <v>#N/A</v>
      </c>
      <c r="E253" s="26" t="e">
        <v>#N/A</v>
      </c>
      <c r="F253" s="26" t="e">
        <v>#N/A</v>
      </c>
      <c r="G253" s="27" t="e">
        <v>#N/A</v>
      </c>
      <c r="H253" s="28" t="e">
        <v>#N/A</v>
      </c>
      <c r="I253" s="28" t="e">
        <v>#N/A</v>
      </c>
      <c r="J253" s="26" t="e">
        <v>#N/A</v>
      </c>
      <c r="K253" s="29" t="e">
        <v>#N/A</v>
      </c>
      <c r="L253" s="26" t="e">
        <v>#N/A</v>
      </c>
      <c r="M253" s="30" t="e">
        <v>#N/A</v>
      </c>
      <c r="N253" s="29" t="e">
        <v>#N/A</v>
      </c>
      <c r="O253" s="31" t="e">
        <v>#N/A</v>
      </c>
      <c r="P253" s="31" t="e">
        <v>#N/A</v>
      </c>
      <c r="Q253" s="31" t="e">
        <v>#N/A</v>
      </c>
      <c r="R253" s="29">
        <v>394577408</v>
      </c>
      <c r="S253" s="29" t="e">
        <v>#N/A</v>
      </c>
      <c r="T253" s="29" t="e">
        <v>#N/A</v>
      </c>
      <c r="U253" s="29" t="e">
        <v>#N/A</v>
      </c>
      <c r="V253" s="29" t="e">
        <v>#N/A</v>
      </c>
      <c r="W253" t="e">
        <v>#N/A</v>
      </c>
      <c r="X253" t="s">
        <v>66</v>
      </c>
      <c r="Y253" t="s">
        <v>108</v>
      </c>
      <c r="Z253" t="s">
        <v>108</v>
      </c>
    </row>
    <row r="254" spans="2:26" x14ac:dyDescent="0.25">
      <c r="B254" t="s">
        <v>735</v>
      </c>
      <c r="C254" s="26" t="s">
        <v>736</v>
      </c>
      <c r="D254" s="26" t="e">
        <v>#N/A</v>
      </c>
      <c r="E254" s="26" t="e">
        <v>#N/A</v>
      </c>
      <c r="F254" s="26" t="e">
        <v>#N/A</v>
      </c>
      <c r="G254" s="27" t="e">
        <v>#N/A</v>
      </c>
      <c r="H254" s="28" t="e">
        <v>#N/A</v>
      </c>
      <c r="I254" s="28" t="e">
        <v>#N/A</v>
      </c>
      <c r="J254" s="26" t="e">
        <v>#N/A</v>
      </c>
      <c r="K254" s="29" t="e">
        <v>#N/A</v>
      </c>
      <c r="L254" s="26" t="e">
        <v>#N/A</v>
      </c>
      <c r="M254" s="30" t="e">
        <v>#N/A</v>
      </c>
      <c r="N254" s="29" t="e">
        <v>#N/A</v>
      </c>
      <c r="O254" s="31" t="e">
        <v>#N/A</v>
      </c>
      <c r="P254" s="31" t="e">
        <v>#N/A</v>
      </c>
      <c r="Q254" s="31" t="e">
        <v>#N/A</v>
      </c>
      <c r="R254" s="29">
        <v>302421696</v>
      </c>
      <c r="S254" s="29" t="e">
        <v>#N/A</v>
      </c>
      <c r="T254" s="29" t="e">
        <v>#N/A</v>
      </c>
      <c r="U254" s="29" t="e">
        <v>#N/A</v>
      </c>
      <c r="V254" s="29" t="e">
        <v>#N/A</v>
      </c>
      <c r="W254" t="e">
        <v>#N/A</v>
      </c>
      <c r="X254" t="s">
        <v>66</v>
      </c>
      <c r="Y254" t="s">
        <v>108</v>
      </c>
      <c r="Z254" t="s">
        <v>108</v>
      </c>
    </row>
    <row r="255" spans="2:26" x14ac:dyDescent="0.25">
      <c r="B255" t="s">
        <v>737</v>
      </c>
      <c r="C255" s="26" t="s">
        <v>738</v>
      </c>
      <c r="D255" s="26" t="e">
        <v>#N/A</v>
      </c>
      <c r="E255" s="26" t="e">
        <v>#N/A</v>
      </c>
      <c r="F255" s="26" t="e">
        <v>#N/A</v>
      </c>
      <c r="G255" s="27" t="e">
        <v>#N/A</v>
      </c>
      <c r="H255" s="28" t="e">
        <v>#N/A</v>
      </c>
      <c r="I255" s="28" t="e">
        <v>#N/A</v>
      </c>
      <c r="J255" s="26" t="e">
        <v>#N/A</v>
      </c>
      <c r="K255" s="29" t="e">
        <v>#N/A</v>
      </c>
      <c r="L255" s="26" t="e">
        <v>#N/A</v>
      </c>
      <c r="M255" s="30" t="e">
        <v>#N/A</v>
      </c>
      <c r="N255" s="29" t="e">
        <v>#N/A</v>
      </c>
      <c r="O255" s="31" t="e">
        <v>#N/A</v>
      </c>
      <c r="P255" s="31" t="e">
        <v>#N/A</v>
      </c>
      <c r="Q255" s="31" t="e">
        <v>#N/A</v>
      </c>
      <c r="R255" s="29">
        <v>544909952</v>
      </c>
      <c r="S255" s="29" t="e">
        <v>#N/A</v>
      </c>
      <c r="T255" s="29" t="e">
        <v>#N/A</v>
      </c>
      <c r="U255" s="29" t="e">
        <v>#N/A</v>
      </c>
      <c r="V255" s="29" t="e">
        <v>#N/A</v>
      </c>
      <c r="W255" t="e">
        <v>#N/A</v>
      </c>
      <c r="X255" t="s">
        <v>66</v>
      </c>
      <c r="Y255" t="s">
        <v>108</v>
      </c>
      <c r="Z255" t="s">
        <v>108</v>
      </c>
    </row>
    <row r="256" spans="2:26" x14ac:dyDescent="0.25">
      <c r="B256" t="s">
        <v>739</v>
      </c>
      <c r="C256" s="26" t="s">
        <v>740</v>
      </c>
      <c r="D256" s="26" t="e">
        <v>#N/A</v>
      </c>
      <c r="E256" s="26" t="e">
        <v>#N/A</v>
      </c>
      <c r="F256" s="26" t="e">
        <v>#N/A</v>
      </c>
      <c r="G256" s="27" t="e">
        <v>#N/A</v>
      </c>
      <c r="H256" s="28" t="e">
        <v>#N/A</v>
      </c>
      <c r="I256" s="28" t="e">
        <v>#N/A</v>
      </c>
      <c r="J256" s="26" t="e">
        <v>#N/A</v>
      </c>
      <c r="K256" s="29" t="e">
        <v>#N/A</v>
      </c>
      <c r="L256" s="26" t="e">
        <v>#N/A</v>
      </c>
      <c r="M256" s="30" t="e">
        <v>#N/A</v>
      </c>
      <c r="N256" s="29" t="e">
        <v>#N/A</v>
      </c>
      <c r="O256" s="31" t="e">
        <v>#N/A</v>
      </c>
      <c r="P256" s="31" t="e">
        <v>#N/A</v>
      </c>
      <c r="Q256" s="31" t="e">
        <v>#N/A</v>
      </c>
      <c r="R256" s="29">
        <v>2711194624</v>
      </c>
      <c r="S256" s="29" t="e">
        <v>#N/A</v>
      </c>
      <c r="T256" s="29" t="e">
        <v>#N/A</v>
      </c>
      <c r="U256" s="29" t="e">
        <v>#N/A</v>
      </c>
      <c r="V256" s="29" t="e">
        <v>#N/A</v>
      </c>
      <c r="W256" t="e">
        <v>#N/A</v>
      </c>
      <c r="X256" t="s">
        <v>66</v>
      </c>
      <c r="Y256" t="s">
        <v>108</v>
      </c>
      <c r="Z256" t="s">
        <v>108</v>
      </c>
    </row>
    <row r="257" spans="2:26" x14ac:dyDescent="0.25">
      <c r="B257" t="s">
        <v>741</v>
      </c>
      <c r="C257" s="26" t="s">
        <v>742</v>
      </c>
      <c r="D257" s="26" t="e">
        <v>#N/A</v>
      </c>
      <c r="E257" s="26" t="e">
        <v>#N/A</v>
      </c>
      <c r="F257" s="26" t="e">
        <v>#N/A</v>
      </c>
      <c r="G257" s="27" t="e">
        <v>#N/A</v>
      </c>
      <c r="H257" s="28" t="e">
        <v>#N/A</v>
      </c>
      <c r="I257" s="28" t="e">
        <v>#N/A</v>
      </c>
      <c r="J257" s="26" t="e">
        <v>#N/A</v>
      </c>
      <c r="K257" s="29" t="e">
        <v>#N/A</v>
      </c>
      <c r="L257" s="26" t="e">
        <v>#N/A</v>
      </c>
      <c r="M257" s="30" t="e">
        <v>#N/A</v>
      </c>
      <c r="N257" s="29" t="e">
        <v>#N/A</v>
      </c>
      <c r="O257" s="31" t="e">
        <v>#N/A</v>
      </c>
      <c r="P257" s="31" t="e">
        <v>#N/A</v>
      </c>
      <c r="Q257" s="31" t="e">
        <v>#N/A</v>
      </c>
      <c r="R257" s="29">
        <v>1184323328</v>
      </c>
      <c r="S257" s="29" t="e">
        <v>#N/A</v>
      </c>
      <c r="T257" s="29" t="e">
        <v>#N/A</v>
      </c>
      <c r="U257" s="29" t="e">
        <v>#N/A</v>
      </c>
      <c r="V257" s="29" t="e">
        <v>#N/A</v>
      </c>
      <c r="W257" t="e">
        <v>#N/A</v>
      </c>
      <c r="X257" t="s">
        <v>66</v>
      </c>
      <c r="Y257" t="s">
        <v>108</v>
      </c>
      <c r="Z257" t="s">
        <v>108</v>
      </c>
    </row>
    <row r="258" spans="2:26" x14ac:dyDescent="0.25">
      <c r="B258" t="s">
        <v>743</v>
      </c>
      <c r="C258" s="26" t="s">
        <v>744</v>
      </c>
      <c r="D258" s="26" t="e">
        <v>#N/A</v>
      </c>
      <c r="E258" s="26" t="e">
        <v>#N/A</v>
      </c>
      <c r="F258" s="26" t="e">
        <v>#N/A</v>
      </c>
      <c r="G258" s="27" t="e">
        <v>#N/A</v>
      </c>
      <c r="H258" s="28" t="e">
        <v>#N/A</v>
      </c>
      <c r="I258" s="28" t="e">
        <v>#N/A</v>
      </c>
      <c r="J258" s="26" t="e">
        <v>#N/A</v>
      </c>
      <c r="K258" s="29" t="e">
        <v>#N/A</v>
      </c>
      <c r="L258" s="26" t="e">
        <v>#N/A</v>
      </c>
      <c r="M258" s="30" t="e">
        <v>#N/A</v>
      </c>
      <c r="N258" s="29" t="e">
        <v>#N/A</v>
      </c>
      <c r="O258" s="31" t="e">
        <v>#N/A</v>
      </c>
      <c r="P258" s="31" t="e">
        <v>#N/A</v>
      </c>
      <c r="Q258" s="31" t="e">
        <v>#N/A</v>
      </c>
      <c r="R258" s="29">
        <v>1477830656</v>
      </c>
      <c r="S258" s="29" t="e">
        <v>#N/A</v>
      </c>
      <c r="T258" s="29" t="e">
        <v>#N/A</v>
      </c>
      <c r="U258" s="29" t="e">
        <v>#N/A</v>
      </c>
      <c r="V258" s="29" t="e">
        <v>#N/A</v>
      </c>
      <c r="W258" t="e">
        <v>#N/A</v>
      </c>
      <c r="X258" t="s">
        <v>66</v>
      </c>
      <c r="Y258" t="s">
        <v>108</v>
      </c>
      <c r="Z258" t="s">
        <v>108</v>
      </c>
    </row>
    <row r="259" spans="2:26" x14ac:dyDescent="0.25">
      <c r="B259" t="s">
        <v>745</v>
      </c>
      <c r="C259" s="26" t="s">
        <v>746</v>
      </c>
      <c r="D259" s="26" t="e">
        <v>#N/A</v>
      </c>
      <c r="E259" s="26" t="e">
        <v>#N/A</v>
      </c>
      <c r="F259" s="26" t="e">
        <v>#N/A</v>
      </c>
      <c r="G259" s="27" t="e">
        <v>#N/A</v>
      </c>
      <c r="H259" s="28" t="e">
        <v>#N/A</v>
      </c>
      <c r="I259" s="28" t="e">
        <v>#N/A</v>
      </c>
      <c r="J259" s="26" t="e">
        <v>#N/A</v>
      </c>
      <c r="K259" s="29" t="e">
        <v>#N/A</v>
      </c>
      <c r="L259" s="26" t="e">
        <v>#N/A</v>
      </c>
      <c r="M259" s="30" t="e">
        <v>#N/A</v>
      </c>
      <c r="N259" s="29" t="e">
        <v>#N/A</v>
      </c>
      <c r="O259" s="31" t="e">
        <v>#N/A</v>
      </c>
      <c r="P259" s="31" t="e">
        <v>#N/A</v>
      </c>
      <c r="Q259" s="31" t="e">
        <v>#N/A</v>
      </c>
      <c r="R259" s="29">
        <v>4201522432</v>
      </c>
      <c r="S259" s="29" t="e">
        <v>#N/A</v>
      </c>
      <c r="T259" s="29" t="e">
        <v>#N/A</v>
      </c>
      <c r="U259" s="29" t="e">
        <v>#N/A</v>
      </c>
      <c r="V259" s="29" t="e">
        <v>#N/A</v>
      </c>
      <c r="W259" t="e">
        <v>#N/A</v>
      </c>
      <c r="X259" t="s">
        <v>66</v>
      </c>
      <c r="Y259" t="s">
        <v>108</v>
      </c>
      <c r="Z259" t="s">
        <v>108</v>
      </c>
    </row>
    <row r="260" spans="2:26" x14ac:dyDescent="0.25">
      <c r="B260" t="s">
        <v>747</v>
      </c>
      <c r="C260" s="26" t="s">
        <v>748</v>
      </c>
      <c r="D260" s="26" t="e">
        <v>#N/A</v>
      </c>
      <c r="E260" s="26" t="e">
        <v>#N/A</v>
      </c>
      <c r="F260" s="26" t="e">
        <v>#N/A</v>
      </c>
      <c r="G260" s="27" t="e">
        <v>#N/A</v>
      </c>
      <c r="H260" s="28" t="e">
        <v>#N/A</v>
      </c>
      <c r="I260" s="28" t="e">
        <v>#N/A</v>
      </c>
      <c r="J260" s="26" t="e">
        <v>#N/A</v>
      </c>
      <c r="K260" s="29" t="e">
        <v>#N/A</v>
      </c>
      <c r="L260" s="26" t="e">
        <v>#N/A</v>
      </c>
      <c r="M260" s="30" t="e">
        <v>#N/A</v>
      </c>
      <c r="N260" s="29" t="e">
        <v>#N/A</v>
      </c>
      <c r="O260" s="31" t="e">
        <v>#N/A</v>
      </c>
      <c r="P260" s="31" t="e">
        <v>#N/A</v>
      </c>
      <c r="Q260" s="31" t="e">
        <v>#N/A</v>
      </c>
      <c r="R260" s="29">
        <v>1423324800</v>
      </c>
      <c r="S260" s="29" t="e">
        <v>#N/A</v>
      </c>
      <c r="T260" s="29" t="e">
        <v>#N/A</v>
      </c>
      <c r="U260" s="29" t="e">
        <v>#N/A</v>
      </c>
      <c r="V260" s="29" t="e">
        <v>#N/A</v>
      </c>
      <c r="W260" t="e">
        <v>#N/A</v>
      </c>
      <c r="X260" t="s">
        <v>66</v>
      </c>
      <c r="Y260" t="s">
        <v>108</v>
      </c>
      <c r="Z260" t="s">
        <v>108</v>
      </c>
    </row>
    <row r="261" spans="2:26" x14ac:dyDescent="0.25">
      <c r="B261" t="s">
        <v>749</v>
      </c>
      <c r="C261" s="26" t="s">
        <v>750</v>
      </c>
      <c r="D261" s="26">
        <v>0.35767890718572554</v>
      </c>
      <c r="E261" s="26">
        <v>0.24712570994964245</v>
      </c>
      <c r="F261" s="26">
        <v>0.28730516500740494</v>
      </c>
      <c r="G261" s="27">
        <v>0.20446222188400695</v>
      </c>
      <c r="H261" s="28">
        <v>24.983173104980374</v>
      </c>
      <c r="I261" s="28">
        <v>9.532923376470567</v>
      </c>
      <c r="J261" s="26">
        <v>8.9739606066065125</v>
      </c>
      <c r="K261" s="29">
        <v>0.24346174899122747</v>
      </c>
      <c r="L261" s="26" t="e">
        <v>#N/A</v>
      </c>
      <c r="M261" s="30">
        <v>0.29111973925588186</v>
      </c>
      <c r="N261" s="29" t="e">
        <v>#N/A</v>
      </c>
      <c r="O261" s="31">
        <v>1.7125205666311323</v>
      </c>
      <c r="P261" s="31">
        <v>173956000</v>
      </c>
      <c r="Q261" s="31">
        <v>210254000</v>
      </c>
      <c r="R261" s="29">
        <v>315984160</v>
      </c>
      <c r="S261" s="29" t="e">
        <v>#N/A</v>
      </c>
      <c r="T261" s="29" t="e">
        <v>#N/A</v>
      </c>
      <c r="U261" s="29" t="e">
        <v>#N/A</v>
      </c>
      <c r="V261" s="29">
        <v>9.379792565111071</v>
      </c>
      <c r="W261">
        <v>2.4164459945313519</v>
      </c>
      <c r="X261" t="s">
        <v>73</v>
      </c>
      <c r="Y261" t="s">
        <v>100</v>
      </c>
      <c r="Z261" t="s">
        <v>174</v>
      </c>
    </row>
    <row r="262" spans="2:26" x14ac:dyDescent="0.25">
      <c r="B262" t="s">
        <v>751</v>
      </c>
      <c r="C262" s="26" t="s">
        <v>752</v>
      </c>
      <c r="D262" s="26" t="e">
        <v>#N/A</v>
      </c>
      <c r="E262" s="26">
        <v>8.9649896656182324E-2</v>
      </c>
      <c r="F262" s="26" t="e">
        <v>#N/A</v>
      </c>
      <c r="G262" s="27">
        <v>8.9649896656182324E-2</v>
      </c>
      <c r="H262" s="28">
        <v>16.956079296016284</v>
      </c>
      <c r="I262" s="28" t="e">
        <v>#N/A</v>
      </c>
      <c r="J262" s="26" t="e">
        <v>#N/A</v>
      </c>
      <c r="K262" s="29">
        <v>0.39914592251038861</v>
      </c>
      <c r="L262" s="26" t="e">
        <v>#N/A</v>
      </c>
      <c r="M262" s="30">
        <v>0.52500700467004613</v>
      </c>
      <c r="N262" s="29" t="e">
        <v>#N/A</v>
      </c>
      <c r="O262" s="31" t="e">
        <v>#N/A</v>
      </c>
      <c r="P262" s="31">
        <v>3034047000</v>
      </c>
      <c r="Q262" s="31">
        <v>3034047000</v>
      </c>
      <c r="R262" s="29">
        <v>790597248</v>
      </c>
      <c r="S262" s="29" t="e">
        <v>#N/A</v>
      </c>
      <c r="T262" s="29">
        <v>4.8997246005433039</v>
      </c>
      <c r="U262" s="29">
        <v>2.1167541428122956</v>
      </c>
      <c r="V262" s="29">
        <v>2.5872374184504192</v>
      </c>
      <c r="W262">
        <v>0.40517866632752536</v>
      </c>
      <c r="X262" t="s">
        <v>66</v>
      </c>
      <c r="Y262" t="s">
        <v>110</v>
      </c>
      <c r="Z262" t="s">
        <v>110</v>
      </c>
    </row>
    <row r="263" spans="2:26" x14ac:dyDescent="0.25">
      <c r="B263" t="s">
        <v>753</v>
      </c>
      <c r="C263" s="26" t="s">
        <v>754</v>
      </c>
      <c r="D263" s="26" t="e">
        <v>#N/A</v>
      </c>
      <c r="E263" s="26" t="e">
        <v>#N/A</v>
      </c>
      <c r="F263" s="26" t="e">
        <v>#N/A</v>
      </c>
      <c r="G263" s="27" t="e">
        <v>#N/A</v>
      </c>
      <c r="H263" s="28" t="e">
        <v>#N/A</v>
      </c>
      <c r="I263" s="28" t="e">
        <v>#N/A</v>
      </c>
      <c r="J263" s="26" t="e">
        <v>#N/A</v>
      </c>
      <c r="K263" s="29" t="e">
        <v>#N/A</v>
      </c>
      <c r="L263" s="26" t="e">
        <v>#N/A</v>
      </c>
      <c r="M263" s="30" t="e">
        <v>#N/A</v>
      </c>
      <c r="N263" s="29" t="e">
        <v>#N/A</v>
      </c>
      <c r="O263" s="31" t="e">
        <v>#N/A</v>
      </c>
      <c r="P263" s="31" t="e">
        <v>#N/A</v>
      </c>
      <c r="Q263" s="31" t="e">
        <v>#N/A</v>
      </c>
      <c r="R263" s="29">
        <v>677230208</v>
      </c>
      <c r="S263" s="29" t="e">
        <v>#N/A</v>
      </c>
      <c r="T263" s="29" t="e">
        <v>#N/A</v>
      </c>
      <c r="U263" s="29" t="e">
        <v>#N/A</v>
      </c>
      <c r="V263" s="29" t="e">
        <v>#N/A</v>
      </c>
      <c r="W263" t="e">
        <v>#N/A</v>
      </c>
      <c r="X263" t="s">
        <v>66</v>
      </c>
      <c r="Y263" t="s">
        <v>108</v>
      </c>
      <c r="Z263" t="s">
        <v>108</v>
      </c>
    </row>
    <row r="264" spans="2:26" x14ac:dyDescent="0.25">
      <c r="B264" t="s">
        <v>755</v>
      </c>
      <c r="C264" s="26" t="s">
        <v>756</v>
      </c>
      <c r="D264" s="26" t="e">
        <v>#N/A</v>
      </c>
      <c r="E264" s="26" t="e">
        <v>#N/A</v>
      </c>
      <c r="F264" s="26" t="e">
        <v>#N/A</v>
      </c>
      <c r="G264" s="27" t="e">
        <v>#N/A</v>
      </c>
      <c r="H264" s="28" t="e">
        <v>#N/A</v>
      </c>
      <c r="I264" s="28" t="e">
        <v>#N/A</v>
      </c>
      <c r="J264" s="26" t="e">
        <v>#N/A</v>
      </c>
      <c r="K264" s="29" t="e">
        <v>#N/A</v>
      </c>
      <c r="L264" s="26" t="e">
        <v>#N/A</v>
      </c>
      <c r="M264" s="30" t="e">
        <v>#N/A</v>
      </c>
      <c r="N264" s="29" t="e">
        <v>#N/A</v>
      </c>
      <c r="O264" s="31" t="e">
        <v>#N/A</v>
      </c>
      <c r="P264" s="31" t="e">
        <v>#N/A</v>
      </c>
      <c r="Q264" s="31" t="e">
        <v>#N/A</v>
      </c>
      <c r="R264" s="29">
        <v>874187648</v>
      </c>
      <c r="S264" s="29" t="e">
        <v>#N/A</v>
      </c>
      <c r="T264" s="29" t="e">
        <v>#N/A</v>
      </c>
      <c r="U264" s="29" t="e">
        <v>#N/A</v>
      </c>
      <c r="V264" s="29" t="e">
        <v>#N/A</v>
      </c>
      <c r="W264" t="e">
        <v>#N/A</v>
      </c>
      <c r="X264" t="s">
        <v>66</v>
      </c>
      <c r="Y264" t="s">
        <v>108</v>
      </c>
      <c r="Z264" t="s">
        <v>108</v>
      </c>
    </row>
    <row r="265" spans="2:26" x14ac:dyDescent="0.25">
      <c r="B265" t="s">
        <v>757</v>
      </c>
      <c r="C265" s="26" t="s">
        <v>758</v>
      </c>
      <c r="D265" s="26" t="e">
        <v>#N/A</v>
      </c>
      <c r="E265" s="26" t="e">
        <v>#N/A</v>
      </c>
      <c r="F265" s="26" t="e">
        <v>#N/A</v>
      </c>
      <c r="G265" s="27" t="e">
        <v>#N/A</v>
      </c>
      <c r="H265" s="28" t="e">
        <v>#N/A</v>
      </c>
      <c r="I265" s="28" t="e">
        <v>#N/A</v>
      </c>
      <c r="J265" s="26" t="e">
        <v>#N/A</v>
      </c>
      <c r="K265" s="29" t="e">
        <v>#N/A</v>
      </c>
      <c r="L265" s="26" t="e">
        <v>#N/A</v>
      </c>
      <c r="M265" s="30" t="e">
        <v>#N/A</v>
      </c>
      <c r="N265" s="29" t="e">
        <v>#N/A</v>
      </c>
      <c r="O265" s="31" t="e">
        <v>#N/A</v>
      </c>
      <c r="P265" s="31" t="e">
        <v>#N/A</v>
      </c>
      <c r="Q265" s="31" t="e">
        <v>#N/A</v>
      </c>
      <c r="R265" s="29">
        <v>878597952</v>
      </c>
      <c r="S265" s="29" t="e">
        <v>#N/A</v>
      </c>
      <c r="T265" s="29" t="e">
        <v>#N/A</v>
      </c>
      <c r="U265" s="29" t="e">
        <v>#N/A</v>
      </c>
      <c r="V265" s="29" t="e">
        <v>#N/A</v>
      </c>
      <c r="W265" t="e">
        <v>#N/A</v>
      </c>
      <c r="X265" t="s">
        <v>66</v>
      </c>
      <c r="Y265" t="s">
        <v>108</v>
      </c>
      <c r="Z265" t="s">
        <v>108</v>
      </c>
    </row>
    <row r="266" spans="2:26" x14ac:dyDescent="0.25">
      <c r="B266" t="s">
        <v>759</v>
      </c>
      <c r="C266" s="26" t="s">
        <v>760</v>
      </c>
      <c r="D266" s="26" t="e">
        <v>#N/A</v>
      </c>
      <c r="E266" s="26" t="e">
        <v>#N/A</v>
      </c>
      <c r="F266" s="26" t="e">
        <v>#N/A</v>
      </c>
      <c r="G266" s="27" t="e">
        <v>#N/A</v>
      </c>
      <c r="H266" s="28" t="e">
        <v>#N/A</v>
      </c>
      <c r="I266" s="28" t="e">
        <v>#N/A</v>
      </c>
      <c r="J266" s="26" t="e">
        <v>#N/A</v>
      </c>
      <c r="K266" s="29" t="e">
        <v>#N/A</v>
      </c>
      <c r="L266" s="26" t="e">
        <v>#N/A</v>
      </c>
      <c r="M266" s="30" t="e">
        <v>#N/A</v>
      </c>
      <c r="N266" s="29" t="e">
        <v>#N/A</v>
      </c>
      <c r="O266" s="31" t="e">
        <v>#N/A</v>
      </c>
      <c r="P266" s="31" t="e">
        <v>#N/A</v>
      </c>
      <c r="Q266" s="31" t="e">
        <v>#N/A</v>
      </c>
      <c r="R266" s="29">
        <v>1724845952</v>
      </c>
      <c r="S266" s="29" t="e">
        <v>#N/A</v>
      </c>
      <c r="T266" s="29" t="e">
        <v>#N/A</v>
      </c>
      <c r="U266" s="29" t="e">
        <v>#N/A</v>
      </c>
      <c r="V266" s="29" t="e">
        <v>#N/A</v>
      </c>
      <c r="W266" t="e">
        <v>#N/A</v>
      </c>
      <c r="X266" t="e">
        <v>#N/A</v>
      </c>
      <c r="Y266" t="e">
        <v>#N/A</v>
      </c>
      <c r="Z266" t="e">
        <v>#N/A</v>
      </c>
    </row>
    <row r="267" spans="2:26" x14ac:dyDescent="0.25">
      <c r="B267" t="s">
        <v>761</v>
      </c>
      <c r="C267" s="26" t="s">
        <v>762</v>
      </c>
      <c r="D267" s="26" t="e">
        <v>#N/A</v>
      </c>
      <c r="E267" s="26" t="e">
        <v>#N/A</v>
      </c>
      <c r="F267" s="26" t="e">
        <v>#N/A</v>
      </c>
      <c r="G267" s="27" t="e">
        <v>#N/A</v>
      </c>
      <c r="H267" s="28" t="e">
        <v>#N/A</v>
      </c>
      <c r="I267" s="28" t="e">
        <v>#N/A</v>
      </c>
      <c r="J267" s="26" t="e">
        <v>#N/A</v>
      </c>
      <c r="K267" s="29" t="e">
        <v>#N/A</v>
      </c>
      <c r="L267" s="26" t="e">
        <v>#N/A</v>
      </c>
      <c r="M267" s="30" t="e">
        <v>#N/A</v>
      </c>
      <c r="N267" s="29" t="e">
        <v>#N/A</v>
      </c>
      <c r="O267" s="31" t="e">
        <v>#N/A</v>
      </c>
      <c r="P267" s="31" t="e">
        <v>#N/A</v>
      </c>
      <c r="Q267" s="31" t="e">
        <v>#N/A</v>
      </c>
      <c r="R267" s="29">
        <v>1368595200</v>
      </c>
      <c r="S267" s="29" t="e">
        <v>#N/A</v>
      </c>
      <c r="T267" s="29" t="e">
        <v>#N/A</v>
      </c>
      <c r="U267" s="29" t="e">
        <v>#N/A</v>
      </c>
      <c r="V267" s="29" t="e">
        <v>#N/A</v>
      </c>
      <c r="W267" t="e">
        <v>#N/A</v>
      </c>
      <c r="X267" t="e">
        <v>#N/A</v>
      </c>
      <c r="Y267" t="e">
        <v>#N/A</v>
      </c>
      <c r="Z267" t="e">
        <v>#N/A</v>
      </c>
    </row>
    <row r="268" spans="2:26" x14ac:dyDescent="0.25">
      <c r="B268" t="s">
        <v>763</v>
      </c>
      <c r="C268" s="26" t="s">
        <v>764</v>
      </c>
      <c r="D268" s="26" t="e">
        <v>#N/A</v>
      </c>
      <c r="E268" s="26" t="e">
        <v>#N/A</v>
      </c>
      <c r="F268" s="26" t="e">
        <v>#N/A</v>
      </c>
      <c r="G268" s="27" t="e">
        <v>#N/A</v>
      </c>
      <c r="H268" s="28" t="e">
        <v>#N/A</v>
      </c>
      <c r="I268" s="28" t="e">
        <v>#N/A</v>
      </c>
      <c r="J268" s="26" t="e">
        <v>#N/A</v>
      </c>
      <c r="K268" s="29" t="e">
        <v>#N/A</v>
      </c>
      <c r="L268" s="26" t="e">
        <v>#N/A</v>
      </c>
      <c r="M268" s="30" t="e">
        <v>#N/A</v>
      </c>
      <c r="N268" s="29" t="e">
        <v>#N/A</v>
      </c>
      <c r="O268" s="31" t="e">
        <v>#N/A</v>
      </c>
      <c r="P268" s="31" t="e">
        <v>#N/A</v>
      </c>
      <c r="Q268" s="31" t="e">
        <v>#N/A</v>
      </c>
      <c r="R268" s="29">
        <v>218821200</v>
      </c>
      <c r="S268" s="29" t="e">
        <v>#N/A</v>
      </c>
      <c r="T268" s="29" t="e">
        <v>#N/A</v>
      </c>
      <c r="U268" s="29" t="e">
        <v>#N/A</v>
      </c>
      <c r="V268" s="29" t="e">
        <v>#N/A</v>
      </c>
      <c r="W268" t="e">
        <v>#N/A</v>
      </c>
      <c r="X268" t="e">
        <v>#N/A</v>
      </c>
      <c r="Y268" t="e">
        <v>#N/A</v>
      </c>
      <c r="Z268" t="e">
        <v>#N/A</v>
      </c>
    </row>
    <row r="269" spans="2:26" x14ac:dyDescent="0.25">
      <c r="B269" t="s">
        <v>765</v>
      </c>
      <c r="C269" s="26" t="s">
        <v>766</v>
      </c>
      <c r="D269" s="26" t="e">
        <v>#N/A</v>
      </c>
      <c r="E269" s="26" t="e">
        <v>#N/A</v>
      </c>
      <c r="F269" s="26" t="e">
        <v>#N/A</v>
      </c>
      <c r="G269" s="27" t="e">
        <v>#N/A</v>
      </c>
      <c r="H269" s="28" t="e">
        <v>#N/A</v>
      </c>
      <c r="I269" s="28" t="e">
        <v>#N/A</v>
      </c>
      <c r="J269" s="26" t="e">
        <v>#N/A</v>
      </c>
      <c r="K269" s="29" t="e">
        <v>#N/A</v>
      </c>
      <c r="L269" s="26" t="e">
        <v>#N/A</v>
      </c>
      <c r="M269" s="30" t="e">
        <v>#N/A</v>
      </c>
      <c r="N269" s="29" t="e">
        <v>#N/A</v>
      </c>
      <c r="O269" s="31" t="e">
        <v>#N/A</v>
      </c>
      <c r="P269" s="31" t="e">
        <v>#N/A</v>
      </c>
      <c r="Q269" s="31" t="e">
        <v>#N/A</v>
      </c>
      <c r="R269" s="29">
        <v>246339328</v>
      </c>
      <c r="S269" s="29" t="e">
        <v>#N/A</v>
      </c>
      <c r="T269" s="29" t="e">
        <v>#N/A</v>
      </c>
      <c r="U269" s="29" t="e">
        <v>#N/A</v>
      </c>
      <c r="V269" s="29" t="e">
        <v>#N/A</v>
      </c>
      <c r="W269" t="e">
        <v>#N/A</v>
      </c>
      <c r="X269" t="s">
        <v>66</v>
      </c>
      <c r="Y269" t="s">
        <v>108</v>
      </c>
      <c r="Z269" t="s">
        <v>108</v>
      </c>
    </row>
    <row r="270" spans="2:26" x14ac:dyDescent="0.25">
      <c r="B270" t="s">
        <v>767</v>
      </c>
      <c r="C270" s="26" t="s">
        <v>768</v>
      </c>
      <c r="D270" s="26" t="e">
        <v>#N/A</v>
      </c>
      <c r="E270" s="26" t="e">
        <v>#N/A</v>
      </c>
      <c r="F270" s="26" t="e">
        <v>#N/A</v>
      </c>
      <c r="G270" s="27" t="e">
        <v>#N/A</v>
      </c>
      <c r="H270" s="28" t="e">
        <v>#N/A</v>
      </c>
      <c r="I270" s="28" t="e">
        <v>#N/A</v>
      </c>
      <c r="J270" s="26" t="e">
        <v>#N/A</v>
      </c>
      <c r="K270" s="29" t="e">
        <v>#N/A</v>
      </c>
      <c r="L270" s="26" t="e">
        <v>#N/A</v>
      </c>
      <c r="M270" s="30" t="e">
        <v>#N/A</v>
      </c>
      <c r="N270" s="29" t="e">
        <v>#N/A</v>
      </c>
      <c r="O270" s="31" t="e">
        <v>#N/A</v>
      </c>
      <c r="P270" s="31" t="e">
        <v>#N/A</v>
      </c>
      <c r="Q270" s="31" t="e">
        <v>#N/A</v>
      </c>
      <c r="R270" s="29">
        <v>2251862016</v>
      </c>
      <c r="S270" s="29" t="e">
        <v>#N/A</v>
      </c>
      <c r="T270" s="29" t="e">
        <v>#N/A</v>
      </c>
      <c r="U270" s="29" t="e">
        <v>#N/A</v>
      </c>
      <c r="V270" s="29" t="e">
        <v>#N/A</v>
      </c>
      <c r="W270" t="e">
        <v>#N/A</v>
      </c>
      <c r="X270" t="e">
        <v>#N/A</v>
      </c>
      <c r="Y270" t="e">
        <v>#N/A</v>
      </c>
      <c r="Z270" t="e">
        <v>#N/A</v>
      </c>
    </row>
    <row r="271" spans="2:26" x14ac:dyDescent="0.25">
      <c r="B271" t="s">
        <v>769</v>
      </c>
      <c r="C271" s="26" t="s">
        <v>770</v>
      </c>
      <c r="D271" s="26" t="e">
        <v>#N/A</v>
      </c>
      <c r="E271" s="26" t="e">
        <v>#N/A</v>
      </c>
      <c r="F271" s="26" t="e">
        <v>#N/A</v>
      </c>
      <c r="G271" s="27" t="e">
        <v>#N/A</v>
      </c>
      <c r="H271" s="28" t="e">
        <v>#N/A</v>
      </c>
      <c r="I271" s="28" t="e">
        <v>#N/A</v>
      </c>
      <c r="J271" s="26" t="e">
        <v>#N/A</v>
      </c>
      <c r="K271" s="29" t="e">
        <v>#N/A</v>
      </c>
      <c r="L271" s="26" t="e">
        <v>#N/A</v>
      </c>
      <c r="M271" s="30" t="e">
        <v>#N/A</v>
      </c>
      <c r="N271" s="29" t="e">
        <v>#N/A</v>
      </c>
      <c r="O271" s="31" t="e">
        <v>#N/A</v>
      </c>
      <c r="P271" s="31" t="e">
        <v>#N/A</v>
      </c>
      <c r="Q271" s="31" t="e">
        <v>#N/A</v>
      </c>
      <c r="R271" s="29">
        <v>676314496</v>
      </c>
      <c r="S271" s="29" t="e">
        <v>#N/A</v>
      </c>
      <c r="T271" s="29" t="e">
        <v>#N/A</v>
      </c>
      <c r="U271" s="29" t="e">
        <v>#N/A</v>
      </c>
      <c r="V271" s="29" t="e">
        <v>#N/A</v>
      </c>
      <c r="W271" t="e">
        <v>#N/A</v>
      </c>
      <c r="X271" t="e">
        <v>#N/A</v>
      </c>
      <c r="Y271" t="e">
        <v>#N/A</v>
      </c>
      <c r="Z271" t="e">
        <v>#N/A</v>
      </c>
    </row>
    <row r="272" spans="2:26" x14ac:dyDescent="0.25">
      <c r="B272" t="s">
        <v>771</v>
      </c>
      <c r="C272" s="26" t="s">
        <v>772</v>
      </c>
      <c r="D272" s="26" t="e">
        <v>#N/A</v>
      </c>
      <c r="E272" s="26" t="e">
        <v>#N/A</v>
      </c>
      <c r="F272" s="26" t="e">
        <v>#N/A</v>
      </c>
      <c r="G272" s="27" t="e">
        <v>#N/A</v>
      </c>
      <c r="H272" s="28" t="e">
        <v>#N/A</v>
      </c>
      <c r="I272" s="28" t="e">
        <v>#N/A</v>
      </c>
      <c r="J272" s="26" t="e">
        <v>#N/A</v>
      </c>
      <c r="K272" s="29" t="e">
        <v>#N/A</v>
      </c>
      <c r="L272" s="26" t="e">
        <v>#N/A</v>
      </c>
      <c r="M272" s="30" t="e">
        <v>#N/A</v>
      </c>
      <c r="N272" s="29" t="e">
        <v>#N/A</v>
      </c>
      <c r="O272" s="31" t="e">
        <v>#N/A</v>
      </c>
      <c r="P272" s="31" t="e">
        <v>#N/A</v>
      </c>
      <c r="Q272" s="31" t="e">
        <v>#N/A</v>
      </c>
      <c r="R272" s="29">
        <v>422804096</v>
      </c>
      <c r="S272" s="29" t="e">
        <v>#N/A</v>
      </c>
      <c r="T272" s="29" t="e">
        <v>#N/A</v>
      </c>
      <c r="U272" s="29" t="e">
        <v>#N/A</v>
      </c>
      <c r="V272" s="29" t="e">
        <v>#N/A</v>
      </c>
      <c r="W272" t="e">
        <v>#N/A</v>
      </c>
      <c r="X272" t="e">
        <v>#N/A</v>
      </c>
      <c r="Y272" t="e">
        <v>#N/A</v>
      </c>
      <c r="Z272" t="e">
        <v>#N/A</v>
      </c>
    </row>
    <row r="273" spans="2:26" x14ac:dyDescent="0.25">
      <c r="B273" t="s">
        <v>773</v>
      </c>
      <c r="C273" s="26" t="s">
        <v>774</v>
      </c>
      <c r="D273" s="26" t="e">
        <v>#N/A</v>
      </c>
      <c r="E273" s="26" t="e">
        <v>#N/A</v>
      </c>
      <c r="F273" s="26" t="e">
        <v>#N/A</v>
      </c>
      <c r="G273" s="27" t="e">
        <v>#N/A</v>
      </c>
      <c r="H273" s="28" t="e">
        <v>#N/A</v>
      </c>
      <c r="I273" s="28" t="e">
        <v>#N/A</v>
      </c>
      <c r="J273" s="26" t="e">
        <v>#N/A</v>
      </c>
      <c r="K273" s="29" t="e">
        <v>#N/A</v>
      </c>
      <c r="L273" s="26" t="e">
        <v>#N/A</v>
      </c>
      <c r="M273" s="30" t="e">
        <v>#N/A</v>
      </c>
      <c r="N273" s="29" t="e">
        <v>#N/A</v>
      </c>
      <c r="O273" s="31" t="e">
        <v>#N/A</v>
      </c>
      <c r="P273" s="31" t="e">
        <v>#N/A</v>
      </c>
      <c r="Q273" s="31" t="e">
        <v>#N/A</v>
      </c>
      <c r="R273" s="29">
        <v>1180376960</v>
      </c>
      <c r="S273" s="29" t="e">
        <v>#N/A</v>
      </c>
      <c r="T273" s="29" t="e">
        <v>#N/A</v>
      </c>
      <c r="U273" s="29" t="e">
        <v>#N/A</v>
      </c>
      <c r="V273" s="29" t="e">
        <v>#N/A</v>
      </c>
      <c r="W273" t="e">
        <v>#N/A</v>
      </c>
      <c r="X273" t="e">
        <v>#N/A</v>
      </c>
      <c r="Y273" t="e">
        <v>#N/A</v>
      </c>
      <c r="Z273" t="e">
        <v>#N/A</v>
      </c>
    </row>
    <row r="274" spans="2:26" x14ac:dyDescent="0.25">
      <c r="B274" t="s">
        <v>775</v>
      </c>
      <c r="C274" s="26" t="s">
        <v>776</v>
      </c>
      <c r="D274" s="26" t="e">
        <v>#N/A</v>
      </c>
      <c r="E274" s="26" t="e">
        <v>#N/A</v>
      </c>
      <c r="F274" s="26" t="e">
        <v>#N/A</v>
      </c>
      <c r="G274" s="27" t="e">
        <v>#N/A</v>
      </c>
      <c r="H274" s="28" t="e">
        <v>#N/A</v>
      </c>
      <c r="I274" s="28" t="e">
        <v>#N/A</v>
      </c>
      <c r="J274" s="26" t="e">
        <v>#N/A</v>
      </c>
      <c r="K274" s="29" t="e">
        <v>#N/A</v>
      </c>
      <c r="L274" s="26" t="e">
        <v>#N/A</v>
      </c>
      <c r="M274" s="30" t="e">
        <v>#N/A</v>
      </c>
      <c r="N274" s="29" t="e">
        <v>#N/A</v>
      </c>
      <c r="O274" s="31" t="e">
        <v>#N/A</v>
      </c>
      <c r="P274" s="31" t="e">
        <v>#N/A</v>
      </c>
      <c r="Q274" s="31" t="e">
        <v>#N/A</v>
      </c>
      <c r="R274" s="29">
        <v>2046070528</v>
      </c>
      <c r="S274" s="29" t="e">
        <v>#N/A</v>
      </c>
      <c r="T274" s="29" t="e">
        <v>#N/A</v>
      </c>
      <c r="U274" s="29" t="e">
        <v>#N/A</v>
      </c>
      <c r="V274" s="29" t="e">
        <v>#N/A</v>
      </c>
      <c r="W274" t="e">
        <v>#N/A</v>
      </c>
      <c r="X274" t="e">
        <v>#N/A</v>
      </c>
      <c r="Y274" t="e">
        <v>#N/A</v>
      </c>
      <c r="Z274" t="e">
        <v>#N/A</v>
      </c>
    </row>
    <row r="275" spans="2:26" x14ac:dyDescent="0.25">
      <c r="B275" t="s">
        <v>777</v>
      </c>
      <c r="C275" s="26" t="s">
        <v>778</v>
      </c>
      <c r="D275" s="26" t="e">
        <v>#N/A</v>
      </c>
      <c r="E275" s="26" t="e">
        <v>#N/A</v>
      </c>
      <c r="F275" s="26" t="e">
        <v>#N/A</v>
      </c>
      <c r="G275" s="27" t="e">
        <v>#N/A</v>
      </c>
      <c r="H275" s="28" t="e">
        <v>#N/A</v>
      </c>
      <c r="I275" s="28" t="e">
        <v>#N/A</v>
      </c>
      <c r="J275" s="26" t="e">
        <v>#N/A</v>
      </c>
      <c r="K275" s="29" t="e">
        <v>#N/A</v>
      </c>
      <c r="L275" s="26" t="e">
        <v>#N/A</v>
      </c>
      <c r="M275" s="30" t="e">
        <v>#N/A</v>
      </c>
      <c r="N275" s="29" t="e">
        <v>#N/A</v>
      </c>
      <c r="O275" s="31" t="e">
        <v>#N/A</v>
      </c>
      <c r="P275" s="31" t="e">
        <v>#N/A</v>
      </c>
      <c r="Q275" s="31" t="e">
        <v>#N/A</v>
      </c>
      <c r="R275" s="29">
        <v>2138104448</v>
      </c>
      <c r="S275" s="29" t="e">
        <v>#N/A</v>
      </c>
      <c r="T275" s="29" t="e">
        <v>#N/A</v>
      </c>
      <c r="U275" s="29" t="e">
        <v>#N/A</v>
      </c>
      <c r="V275" s="29" t="e">
        <v>#N/A</v>
      </c>
      <c r="W275" t="e">
        <v>#N/A</v>
      </c>
      <c r="X275" t="e">
        <v>#N/A</v>
      </c>
      <c r="Y275" t="e">
        <v>#N/A</v>
      </c>
      <c r="Z275" t="e">
        <v>#N/A</v>
      </c>
    </row>
    <row r="276" spans="2:26" x14ac:dyDescent="0.25">
      <c r="B276" t="s">
        <v>779</v>
      </c>
      <c r="C276" s="26" t="s">
        <v>780</v>
      </c>
      <c r="D276" s="26" t="e">
        <v>#N/A</v>
      </c>
      <c r="E276" s="26" t="e">
        <v>#N/A</v>
      </c>
      <c r="F276" s="26" t="e">
        <v>#N/A</v>
      </c>
      <c r="G276" s="27" t="e">
        <v>#N/A</v>
      </c>
      <c r="H276" s="28" t="e">
        <v>#N/A</v>
      </c>
      <c r="I276" s="28" t="e">
        <v>#N/A</v>
      </c>
      <c r="J276" s="26" t="e">
        <v>#N/A</v>
      </c>
      <c r="K276" s="29" t="e">
        <v>#N/A</v>
      </c>
      <c r="L276" s="26" t="e">
        <v>#N/A</v>
      </c>
      <c r="M276" s="30" t="e">
        <v>#N/A</v>
      </c>
      <c r="N276" s="29" t="e">
        <v>#N/A</v>
      </c>
      <c r="O276" s="31" t="e">
        <v>#N/A</v>
      </c>
      <c r="P276" s="31" t="e">
        <v>#N/A</v>
      </c>
      <c r="Q276" s="31" t="e">
        <v>#N/A</v>
      </c>
      <c r="R276" s="29">
        <v>332590592</v>
      </c>
      <c r="S276" s="29" t="e">
        <v>#N/A</v>
      </c>
      <c r="T276" s="29" t="e">
        <v>#N/A</v>
      </c>
      <c r="U276" s="29" t="e">
        <v>#N/A</v>
      </c>
      <c r="V276" s="29" t="e">
        <v>#N/A</v>
      </c>
      <c r="W276" t="e">
        <v>#N/A</v>
      </c>
      <c r="X276" t="e">
        <v>#N/A</v>
      </c>
      <c r="Y276" t="e">
        <v>#N/A</v>
      </c>
      <c r="Z276" t="e">
        <v>#N/A</v>
      </c>
    </row>
    <row r="277" spans="2:26" x14ac:dyDescent="0.25">
      <c r="B277" t="s">
        <v>781</v>
      </c>
      <c r="C277" s="26" t="s">
        <v>782</v>
      </c>
      <c r="D277" s="26" t="e">
        <v>#N/A</v>
      </c>
      <c r="E277" s="26" t="e">
        <v>#N/A</v>
      </c>
      <c r="F277" s="26" t="e">
        <v>#N/A</v>
      </c>
      <c r="G277" s="27" t="e">
        <v>#N/A</v>
      </c>
      <c r="H277" s="28" t="e">
        <v>#N/A</v>
      </c>
      <c r="I277" s="28" t="e">
        <v>#N/A</v>
      </c>
      <c r="J277" s="26" t="e">
        <v>#N/A</v>
      </c>
      <c r="K277" s="29" t="e">
        <v>#N/A</v>
      </c>
      <c r="L277" s="26" t="e">
        <v>#N/A</v>
      </c>
      <c r="M277" s="30" t="e">
        <v>#N/A</v>
      </c>
      <c r="N277" s="29" t="e">
        <v>#N/A</v>
      </c>
      <c r="O277" s="31" t="e">
        <v>#N/A</v>
      </c>
      <c r="P277" s="31" t="e">
        <v>#N/A</v>
      </c>
      <c r="Q277" s="31" t="e">
        <v>#N/A</v>
      </c>
      <c r="R277" s="29">
        <v>701402880</v>
      </c>
      <c r="S277" s="29" t="e">
        <v>#N/A</v>
      </c>
      <c r="T277" s="29" t="e">
        <v>#N/A</v>
      </c>
      <c r="U277" s="29" t="e">
        <v>#N/A</v>
      </c>
      <c r="V277" s="29" t="e">
        <v>#N/A</v>
      </c>
      <c r="W277" t="e">
        <v>#N/A</v>
      </c>
      <c r="X277" t="s">
        <v>66</v>
      </c>
      <c r="Y277" t="s">
        <v>108</v>
      </c>
      <c r="Z277" t="s">
        <v>108</v>
      </c>
    </row>
    <row r="278" spans="2:26" x14ac:dyDescent="0.25">
      <c r="B278" t="s">
        <v>783</v>
      </c>
      <c r="C278" s="26" t="s">
        <v>784</v>
      </c>
      <c r="D278" s="26" t="e">
        <v>#N/A</v>
      </c>
      <c r="E278" s="26" t="e">
        <v>#N/A</v>
      </c>
      <c r="F278" s="26" t="e">
        <v>#N/A</v>
      </c>
      <c r="G278" s="27" t="e">
        <v>#N/A</v>
      </c>
      <c r="H278" s="28" t="e">
        <v>#N/A</v>
      </c>
      <c r="I278" s="28" t="e">
        <v>#N/A</v>
      </c>
      <c r="J278" s="26" t="e">
        <v>#N/A</v>
      </c>
      <c r="K278" s="29" t="e">
        <v>#N/A</v>
      </c>
      <c r="L278" s="26" t="e">
        <v>#N/A</v>
      </c>
      <c r="M278" s="30" t="e">
        <v>#N/A</v>
      </c>
      <c r="N278" s="29" t="e">
        <v>#N/A</v>
      </c>
      <c r="O278" s="31" t="e">
        <v>#N/A</v>
      </c>
      <c r="P278" s="31" t="e">
        <v>#N/A</v>
      </c>
      <c r="Q278" s="31" t="e">
        <v>#N/A</v>
      </c>
      <c r="R278" s="29">
        <v>1179856000</v>
      </c>
      <c r="S278" s="29" t="e">
        <v>#N/A</v>
      </c>
      <c r="T278" s="29" t="e">
        <v>#N/A</v>
      </c>
      <c r="U278" s="29" t="e">
        <v>#N/A</v>
      </c>
      <c r="V278" s="29" t="e">
        <v>#N/A</v>
      </c>
      <c r="W278" t="e">
        <v>#N/A</v>
      </c>
      <c r="X278" t="s">
        <v>66</v>
      </c>
      <c r="Y278" t="s">
        <v>108</v>
      </c>
      <c r="Z278" t="s">
        <v>108</v>
      </c>
    </row>
    <row r="279" spans="2:26" x14ac:dyDescent="0.25">
      <c r="B279" t="s">
        <v>785</v>
      </c>
      <c r="C279" s="26" t="s">
        <v>786</v>
      </c>
      <c r="D279" s="26" t="e">
        <v>#N/A</v>
      </c>
      <c r="E279" s="26" t="e">
        <v>#N/A</v>
      </c>
      <c r="F279" s="26" t="e">
        <v>#N/A</v>
      </c>
      <c r="G279" s="27" t="e">
        <v>#N/A</v>
      </c>
      <c r="H279" s="28" t="e">
        <v>#N/A</v>
      </c>
      <c r="I279" s="28" t="e">
        <v>#N/A</v>
      </c>
      <c r="J279" s="26" t="e">
        <v>#N/A</v>
      </c>
      <c r="K279" s="29" t="e">
        <v>#N/A</v>
      </c>
      <c r="L279" s="26" t="e">
        <v>#N/A</v>
      </c>
      <c r="M279" s="30" t="e">
        <v>#N/A</v>
      </c>
      <c r="N279" s="29" t="e">
        <v>#N/A</v>
      </c>
      <c r="O279" s="31" t="e">
        <v>#N/A</v>
      </c>
      <c r="P279" s="31" t="e">
        <v>#N/A</v>
      </c>
      <c r="Q279" s="31" t="e">
        <v>#N/A</v>
      </c>
      <c r="R279" s="29">
        <v>607321984</v>
      </c>
      <c r="S279" s="29" t="e">
        <v>#N/A</v>
      </c>
      <c r="T279" s="29" t="e">
        <v>#N/A</v>
      </c>
      <c r="U279" s="29" t="e">
        <v>#N/A</v>
      </c>
      <c r="V279" s="29" t="e">
        <v>#N/A</v>
      </c>
      <c r="W279" t="e">
        <v>#N/A</v>
      </c>
      <c r="X279" t="s">
        <v>66</v>
      </c>
      <c r="Y279" t="s">
        <v>108</v>
      </c>
      <c r="Z279" t="s">
        <v>108</v>
      </c>
    </row>
    <row r="280" spans="2:26" x14ac:dyDescent="0.25">
      <c r="B280" t="s">
        <v>787</v>
      </c>
      <c r="C280" s="26" t="s">
        <v>788</v>
      </c>
      <c r="D280" s="26" t="e">
        <v>#N/A</v>
      </c>
      <c r="E280" s="26" t="e">
        <v>#N/A</v>
      </c>
      <c r="F280" s="26" t="e">
        <v>#N/A</v>
      </c>
      <c r="G280" s="27" t="e">
        <v>#N/A</v>
      </c>
      <c r="H280" s="28" t="e">
        <v>#N/A</v>
      </c>
      <c r="I280" s="28" t="e">
        <v>#N/A</v>
      </c>
      <c r="J280" s="26" t="e">
        <v>#N/A</v>
      </c>
      <c r="K280" s="29" t="e">
        <v>#N/A</v>
      </c>
      <c r="L280" s="26" t="e">
        <v>#N/A</v>
      </c>
      <c r="M280" s="30" t="e">
        <v>#N/A</v>
      </c>
      <c r="N280" s="29" t="e">
        <v>#N/A</v>
      </c>
      <c r="O280" s="31" t="e">
        <v>#N/A</v>
      </c>
      <c r="P280" s="31" t="e">
        <v>#N/A</v>
      </c>
      <c r="Q280" s="31" t="e">
        <v>#N/A</v>
      </c>
      <c r="R280" s="29">
        <v>323307584</v>
      </c>
      <c r="S280" s="29" t="e">
        <v>#N/A</v>
      </c>
      <c r="T280" s="29" t="e">
        <v>#N/A</v>
      </c>
      <c r="U280" s="29" t="e">
        <v>#N/A</v>
      </c>
      <c r="V280" s="29" t="e">
        <v>#N/A</v>
      </c>
      <c r="W280" t="e">
        <v>#N/A</v>
      </c>
      <c r="X280" t="s">
        <v>66</v>
      </c>
      <c r="Y280" t="s">
        <v>108</v>
      </c>
      <c r="Z280" t="s">
        <v>108</v>
      </c>
    </row>
    <row r="281" spans="2:26" x14ac:dyDescent="0.25">
      <c r="B281" t="s">
        <v>789</v>
      </c>
      <c r="C281" s="26" t="s">
        <v>790</v>
      </c>
      <c r="D281" s="26" t="e">
        <v>#N/A</v>
      </c>
      <c r="E281" s="26" t="e">
        <v>#N/A</v>
      </c>
      <c r="F281" s="26" t="e">
        <v>#N/A</v>
      </c>
      <c r="G281" s="27" t="e">
        <v>#N/A</v>
      </c>
      <c r="H281" s="28" t="e">
        <v>#N/A</v>
      </c>
      <c r="I281" s="28" t="e">
        <v>#N/A</v>
      </c>
      <c r="J281" s="26" t="e">
        <v>#N/A</v>
      </c>
      <c r="K281" s="29" t="e">
        <v>#N/A</v>
      </c>
      <c r="L281" s="26" t="e">
        <v>#N/A</v>
      </c>
      <c r="M281" s="30" t="e">
        <v>#N/A</v>
      </c>
      <c r="N281" s="29" t="e">
        <v>#N/A</v>
      </c>
      <c r="O281" s="31" t="e">
        <v>#N/A</v>
      </c>
      <c r="P281" s="31" t="e">
        <v>#N/A</v>
      </c>
      <c r="Q281" s="31" t="e">
        <v>#N/A</v>
      </c>
      <c r="R281" s="29">
        <v>222578000</v>
      </c>
      <c r="S281" s="29" t="e">
        <v>#N/A</v>
      </c>
      <c r="T281" s="29" t="e">
        <v>#N/A</v>
      </c>
      <c r="U281" s="29" t="e">
        <v>#N/A</v>
      </c>
      <c r="V281" s="29" t="e">
        <v>#N/A</v>
      </c>
      <c r="W281" t="e">
        <v>#N/A</v>
      </c>
      <c r="X281" t="s">
        <v>66</v>
      </c>
      <c r="Y281" t="s">
        <v>108</v>
      </c>
      <c r="Z281" t="s">
        <v>108</v>
      </c>
    </row>
    <row r="282" spans="2:26" x14ac:dyDescent="0.25">
      <c r="B282" t="s">
        <v>791</v>
      </c>
      <c r="C282" s="26" t="s">
        <v>792</v>
      </c>
      <c r="D282" s="26" t="e">
        <v>#N/A</v>
      </c>
      <c r="E282" s="26" t="e">
        <v>#N/A</v>
      </c>
      <c r="F282" s="26" t="e">
        <v>#N/A</v>
      </c>
      <c r="G282" s="27" t="e">
        <v>#N/A</v>
      </c>
      <c r="H282" s="28" t="e">
        <v>#N/A</v>
      </c>
      <c r="I282" s="28" t="e">
        <v>#N/A</v>
      </c>
      <c r="J282" s="26" t="e">
        <v>#N/A</v>
      </c>
      <c r="K282" s="29" t="e">
        <v>#N/A</v>
      </c>
      <c r="L282" s="26" t="e">
        <v>#N/A</v>
      </c>
      <c r="M282" s="30" t="e">
        <v>#N/A</v>
      </c>
      <c r="N282" s="29" t="e">
        <v>#N/A</v>
      </c>
      <c r="O282" s="31" t="e">
        <v>#N/A</v>
      </c>
      <c r="P282" s="31" t="e">
        <v>#N/A</v>
      </c>
      <c r="Q282" s="31" t="e">
        <v>#N/A</v>
      </c>
      <c r="R282" s="29">
        <v>352102464</v>
      </c>
      <c r="S282" s="29" t="e">
        <v>#N/A</v>
      </c>
      <c r="T282" s="29" t="e">
        <v>#N/A</v>
      </c>
      <c r="U282" s="29" t="e">
        <v>#N/A</v>
      </c>
      <c r="V282" s="29" t="e">
        <v>#N/A</v>
      </c>
      <c r="W282" t="e">
        <v>#N/A</v>
      </c>
      <c r="X282" t="s">
        <v>66</v>
      </c>
      <c r="Y282" t="s">
        <v>108</v>
      </c>
      <c r="Z282" t="s">
        <v>108</v>
      </c>
    </row>
    <row r="283" spans="2:26" x14ac:dyDescent="0.25">
      <c r="B283" t="s">
        <v>793</v>
      </c>
      <c r="C283" s="26" t="s">
        <v>794</v>
      </c>
      <c r="D283" s="26" t="e">
        <v>#N/A</v>
      </c>
      <c r="E283" s="26" t="e">
        <v>#N/A</v>
      </c>
      <c r="F283" s="26" t="e">
        <v>#N/A</v>
      </c>
      <c r="G283" s="27" t="e">
        <v>#N/A</v>
      </c>
      <c r="H283" s="28" t="e">
        <v>#N/A</v>
      </c>
      <c r="I283" s="28" t="e">
        <v>#N/A</v>
      </c>
      <c r="J283" s="26" t="e">
        <v>#N/A</v>
      </c>
      <c r="K283" s="29" t="e">
        <v>#N/A</v>
      </c>
      <c r="L283" s="26" t="e">
        <v>#N/A</v>
      </c>
      <c r="M283" s="30" t="e">
        <v>#N/A</v>
      </c>
      <c r="N283" s="29" t="e">
        <v>#N/A</v>
      </c>
      <c r="O283" s="31" t="e">
        <v>#N/A</v>
      </c>
      <c r="P283" s="31" t="e">
        <v>#N/A</v>
      </c>
      <c r="Q283" s="31" t="e">
        <v>#N/A</v>
      </c>
      <c r="R283" s="29">
        <v>242090880</v>
      </c>
      <c r="S283" s="29" t="e">
        <v>#N/A</v>
      </c>
      <c r="T283" s="29" t="e">
        <v>#N/A</v>
      </c>
      <c r="U283" s="29" t="e">
        <v>#N/A</v>
      </c>
      <c r="V283" s="29" t="e">
        <v>#N/A</v>
      </c>
      <c r="W283" t="e">
        <v>#N/A</v>
      </c>
      <c r="X283" t="s">
        <v>66</v>
      </c>
      <c r="Y283" t="s">
        <v>108</v>
      </c>
      <c r="Z283" t="s">
        <v>108</v>
      </c>
    </row>
    <row r="284" spans="2:26" x14ac:dyDescent="0.25">
      <c r="B284" t="s">
        <v>795</v>
      </c>
      <c r="C284" s="26" t="s">
        <v>796</v>
      </c>
      <c r="D284" s="26" t="e">
        <v>#N/A</v>
      </c>
      <c r="E284" s="26" t="e">
        <v>#N/A</v>
      </c>
      <c r="F284" s="26" t="e">
        <v>#N/A</v>
      </c>
      <c r="G284" s="27" t="e">
        <v>#N/A</v>
      </c>
      <c r="H284" s="28" t="e">
        <v>#N/A</v>
      </c>
      <c r="I284" s="28" t="e">
        <v>#N/A</v>
      </c>
      <c r="J284" s="26" t="e">
        <v>#N/A</v>
      </c>
      <c r="K284" s="29" t="e">
        <v>#N/A</v>
      </c>
      <c r="L284" s="26" t="e">
        <v>#N/A</v>
      </c>
      <c r="M284" s="30" t="e">
        <v>#N/A</v>
      </c>
      <c r="N284" s="29" t="e">
        <v>#N/A</v>
      </c>
      <c r="O284" s="31" t="e">
        <v>#N/A</v>
      </c>
      <c r="P284" s="31" t="e">
        <v>#N/A</v>
      </c>
      <c r="Q284" s="31" t="e">
        <v>#N/A</v>
      </c>
      <c r="R284" s="29">
        <v>331056000</v>
      </c>
      <c r="S284" s="29" t="e">
        <v>#N/A</v>
      </c>
      <c r="T284" s="29" t="e">
        <v>#N/A</v>
      </c>
      <c r="U284" s="29" t="e">
        <v>#N/A</v>
      </c>
      <c r="V284" s="29" t="e">
        <v>#N/A</v>
      </c>
      <c r="W284" t="e">
        <v>#N/A</v>
      </c>
      <c r="X284" t="s">
        <v>66</v>
      </c>
      <c r="Y284" t="s">
        <v>108</v>
      </c>
      <c r="Z284" t="s">
        <v>108</v>
      </c>
    </row>
    <row r="285" spans="2:26" x14ac:dyDescent="0.25">
      <c r="B285" t="s">
        <v>797</v>
      </c>
      <c r="C285" s="26" t="s">
        <v>798</v>
      </c>
      <c r="D285" s="26" t="e">
        <v>#N/A</v>
      </c>
      <c r="E285" s="26" t="e">
        <v>#N/A</v>
      </c>
      <c r="F285" s="26" t="e">
        <v>#N/A</v>
      </c>
      <c r="G285" s="27" t="e">
        <v>#N/A</v>
      </c>
      <c r="H285" s="28" t="e">
        <v>#N/A</v>
      </c>
      <c r="I285" s="28" t="e">
        <v>#N/A</v>
      </c>
      <c r="J285" s="26" t="e">
        <v>#N/A</v>
      </c>
      <c r="K285" s="29" t="e">
        <v>#N/A</v>
      </c>
      <c r="L285" s="26" t="e">
        <v>#N/A</v>
      </c>
      <c r="M285" s="30" t="e">
        <v>#N/A</v>
      </c>
      <c r="N285" s="29" t="e">
        <v>#N/A</v>
      </c>
      <c r="O285" s="31" t="e">
        <v>#N/A</v>
      </c>
      <c r="P285" s="31" t="e">
        <v>#N/A</v>
      </c>
      <c r="Q285" s="31" t="e">
        <v>#N/A</v>
      </c>
      <c r="R285" s="29">
        <v>246923712</v>
      </c>
      <c r="S285" s="29" t="e">
        <v>#N/A</v>
      </c>
      <c r="T285" s="29" t="e">
        <v>#N/A</v>
      </c>
      <c r="U285" s="29" t="e">
        <v>#N/A</v>
      </c>
      <c r="V285" s="29" t="e">
        <v>#N/A</v>
      </c>
      <c r="W285" t="e">
        <v>#N/A</v>
      </c>
      <c r="X285" t="s">
        <v>66</v>
      </c>
      <c r="Y285" t="s">
        <v>108</v>
      </c>
      <c r="Z285" t="s">
        <v>108</v>
      </c>
    </row>
    <row r="286" spans="2:26" x14ac:dyDescent="0.25">
      <c r="B286" t="s">
        <v>799</v>
      </c>
      <c r="C286" s="26" t="s">
        <v>800</v>
      </c>
      <c r="D286" s="26" t="e">
        <v>#N/A</v>
      </c>
      <c r="E286" s="26" t="e">
        <v>#N/A</v>
      </c>
      <c r="F286" s="26" t="e">
        <v>#N/A</v>
      </c>
      <c r="G286" s="27" t="e">
        <v>#N/A</v>
      </c>
      <c r="H286" s="28" t="e">
        <v>#N/A</v>
      </c>
      <c r="I286" s="28" t="e">
        <v>#N/A</v>
      </c>
      <c r="J286" s="26" t="e">
        <v>#N/A</v>
      </c>
      <c r="K286" s="29" t="e">
        <v>#N/A</v>
      </c>
      <c r="L286" s="26" t="e">
        <v>#N/A</v>
      </c>
      <c r="M286" s="30" t="e">
        <v>#N/A</v>
      </c>
      <c r="N286" s="29" t="e">
        <v>#N/A</v>
      </c>
      <c r="O286" s="31" t="e">
        <v>#N/A</v>
      </c>
      <c r="P286" s="31" t="e">
        <v>#N/A</v>
      </c>
      <c r="Q286" s="31" t="e">
        <v>#N/A</v>
      </c>
      <c r="R286" s="29">
        <v>311590400</v>
      </c>
      <c r="S286" s="29" t="e">
        <v>#N/A</v>
      </c>
      <c r="T286" s="29" t="e">
        <v>#N/A</v>
      </c>
      <c r="U286" s="29" t="e">
        <v>#N/A</v>
      </c>
      <c r="V286" s="29" t="e">
        <v>#N/A</v>
      </c>
      <c r="W286" t="e">
        <v>#N/A</v>
      </c>
      <c r="X286" t="s">
        <v>66</v>
      </c>
      <c r="Y286" t="s">
        <v>108</v>
      </c>
      <c r="Z286" t="s">
        <v>108</v>
      </c>
    </row>
    <row r="287" spans="2:26" x14ac:dyDescent="0.25">
      <c r="B287" t="s">
        <v>801</v>
      </c>
      <c r="C287" s="26" t="s">
        <v>802</v>
      </c>
      <c r="D287" s="26" t="e">
        <v>#N/A</v>
      </c>
      <c r="E287" s="26" t="e">
        <v>#N/A</v>
      </c>
      <c r="F287" s="26" t="e">
        <v>#N/A</v>
      </c>
      <c r="G287" s="27" t="e">
        <v>#N/A</v>
      </c>
      <c r="H287" s="28" t="e">
        <v>#N/A</v>
      </c>
      <c r="I287" s="28" t="e">
        <v>#N/A</v>
      </c>
      <c r="J287" s="26" t="e">
        <v>#N/A</v>
      </c>
      <c r="K287" s="29" t="e">
        <v>#N/A</v>
      </c>
      <c r="L287" s="26" t="e">
        <v>#N/A</v>
      </c>
      <c r="M287" s="30" t="e">
        <v>#N/A</v>
      </c>
      <c r="N287" s="29" t="e">
        <v>#N/A</v>
      </c>
      <c r="O287" s="31" t="e">
        <v>#N/A</v>
      </c>
      <c r="P287" s="31" t="e">
        <v>#N/A</v>
      </c>
      <c r="Q287" s="31" t="e">
        <v>#N/A</v>
      </c>
      <c r="R287" s="29">
        <v>515822880</v>
      </c>
      <c r="S287" s="29" t="e">
        <v>#N/A</v>
      </c>
      <c r="T287" s="29" t="e">
        <v>#N/A</v>
      </c>
      <c r="U287" s="29" t="e">
        <v>#N/A</v>
      </c>
      <c r="V287" s="29" t="e">
        <v>#N/A</v>
      </c>
      <c r="W287" t="e">
        <v>#N/A</v>
      </c>
      <c r="X287" t="s">
        <v>66</v>
      </c>
      <c r="Y287" t="s">
        <v>108</v>
      </c>
      <c r="Z287" t="s">
        <v>108</v>
      </c>
    </row>
    <row r="288" spans="2:26" x14ac:dyDescent="0.25">
      <c r="B288" t="s">
        <v>803</v>
      </c>
      <c r="C288" s="26" t="s">
        <v>804</v>
      </c>
      <c r="D288" s="26" t="e">
        <v>#N/A</v>
      </c>
      <c r="E288" s="26" t="e">
        <v>#N/A</v>
      </c>
      <c r="F288" s="26" t="e">
        <v>#N/A</v>
      </c>
      <c r="G288" s="27" t="e">
        <v>#N/A</v>
      </c>
      <c r="H288" s="28" t="e">
        <v>#N/A</v>
      </c>
      <c r="I288" s="28" t="e">
        <v>#N/A</v>
      </c>
      <c r="J288" s="26" t="e">
        <v>#N/A</v>
      </c>
      <c r="K288" s="29" t="e">
        <v>#N/A</v>
      </c>
      <c r="L288" s="26" t="e">
        <v>#N/A</v>
      </c>
      <c r="M288" s="30" t="e">
        <v>#N/A</v>
      </c>
      <c r="N288" s="29" t="e">
        <v>#N/A</v>
      </c>
      <c r="O288" s="31" t="e">
        <v>#N/A</v>
      </c>
      <c r="P288" s="31" t="e">
        <v>#N/A</v>
      </c>
      <c r="Q288" s="31" t="e">
        <v>#N/A</v>
      </c>
      <c r="R288" s="29">
        <v>334380512</v>
      </c>
      <c r="S288" s="29" t="e">
        <v>#N/A</v>
      </c>
      <c r="T288" s="29" t="e">
        <v>#N/A</v>
      </c>
      <c r="U288" s="29" t="e">
        <v>#N/A</v>
      </c>
      <c r="V288" s="29" t="e">
        <v>#N/A</v>
      </c>
      <c r="W288" t="e">
        <v>#N/A</v>
      </c>
      <c r="X288" t="s">
        <v>66</v>
      </c>
      <c r="Y288" t="s">
        <v>108</v>
      </c>
      <c r="Z288" t="s">
        <v>108</v>
      </c>
    </row>
    <row r="289" spans="2:26" x14ac:dyDescent="0.25">
      <c r="B289" t="s">
        <v>805</v>
      </c>
      <c r="C289" s="26" t="s">
        <v>806</v>
      </c>
      <c r="D289" s="26" t="e">
        <v>#N/A</v>
      </c>
      <c r="E289" s="26" t="e">
        <v>#N/A</v>
      </c>
      <c r="F289" s="26" t="e">
        <v>#N/A</v>
      </c>
      <c r="G289" s="27" t="e">
        <v>#N/A</v>
      </c>
      <c r="H289" s="28" t="e">
        <v>#N/A</v>
      </c>
      <c r="I289" s="28" t="e">
        <v>#N/A</v>
      </c>
      <c r="J289" s="26" t="e">
        <v>#N/A</v>
      </c>
      <c r="K289" s="29" t="e">
        <v>#N/A</v>
      </c>
      <c r="L289" s="26" t="e">
        <v>#N/A</v>
      </c>
      <c r="M289" s="30" t="e">
        <v>#N/A</v>
      </c>
      <c r="N289" s="29" t="e">
        <v>#N/A</v>
      </c>
      <c r="O289" s="31" t="e">
        <v>#N/A</v>
      </c>
      <c r="P289" s="31" t="e">
        <v>#N/A</v>
      </c>
      <c r="Q289" s="31" t="e">
        <v>#N/A</v>
      </c>
      <c r="R289" s="29">
        <v>231446400</v>
      </c>
      <c r="S289" s="29" t="e">
        <v>#N/A</v>
      </c>
      <c r="T289" s="29" t="e">
        <v>#N/A</v>
      </c>
      <c r="U289" s="29" t="e">
        <v>#N/A</v>
      </c>
      <c r="V289" s="29" t="e">
        <v>#N/A</v>
      </c>
      <c r="W289" t="e">
        <v>#N/A</v>
      </c>
      <c r="X289" t="s">
        <v>66</v>
      </c>
      <c r="Y289" t="s">
        <v>108</v>
      </c>
      <c r="Z289" t="s">
        <v>108</v>
      </c>
    </row>
    <row r="290" spans="2:26" x14ac:dyDescent="0.25">
      <c r="B290" t="s">
        <v>807</v>
      </c>
      <c r="C290" s="26" t="s">
        <v>808</v>
      </c>
      <c r="D290" s="26" t="e">
        <v>#N/A</v>
      </c>
      <c r="E290" s="26" t="e">
        <v>#N/A</v>
      </c>
      <c r="F290" s="26" t="e">
        <v>#N/A</v>
      </c>
      <c r="G290" s="27" t="e">
        <v>#N/A</v>
      </c>
      <c r="H290" s="28" t="e">
        <v>#N/A</v>
      </c>
      <c r="I290" s="28" t="e">
        <v>#N/A</v>
      </c>
      <c r="J290" s="26" t="e">
        <v>#N/A</v>
      </c>
      <c r="K290" s="29" t="e">
        <v>#N/A</v>
      </c>
      <c r="L290" s="26" t="e">
        <v>#N/A</v>
      </c>
      <c r="M290" s="30" t="e">
        <v>#N/A</v>
      </c>
      <c r="N290" s="29" t="e">
        <v>#N/A</v>
      </c>
      <c r="O290" s="31" t="e">
        <v>#N/A</v>
      </c>
      <c r="P290" s="31" t="e">
        <v>#N/A</v>
      </c>
      <c r="Q290" s="31" t="e">
        <v>#N/A</v>
      </c>
      <c r="R290" s="29">
        <v>1410120320</v>
      </c>
      <c r="S290" s="29" t="e">
        <v>#N/A</v>
      </c>
      <c r="T290" s="29" t="e">
        <v>#N/A</v>
      </c>
      <c r="U290" s="29" t="e">
        <v>#N/A</v>
      </c>
      <c r="V290" s="29" t="e">
        <v>#N/A</v>
      </c>
      <c r="W290" t="e">
        <v>#N/A</v>
      </c>
      <c r="X290" t="s">
        <v>66</v>
      </c>
      <c r="Y290" t="s">
        <v>108</v>
      </c>
      <c r="Z290" t="s">
        <v>108</v>
      </c>
    </row>
    <row r="291" spans="2:26" x14ac:dyDescent="0.25">
      <c r="B291" t="s">
        <v>809</v>
      </c>
      <c r="C291" s="26" t="s">
        <v>810</v>
      </c>
      <c r="D291" s="26" t="e">
        <v>#N/A</v>
      </c>
      <c r="E291" s="26" t="e">
        <v>#N/A</v>
      </c>
      <c r="F291" s="26" t="e">
        <v>#N/A</v>
      </c>
      <c r="G291" s="27" t="e">
        <v>#N/A</v>
      </c>
      <c r="H291" s="28" t="e">
        <v>#N/A</v>
      </c>
      <c r="I291" s="28" t="e">
        <v>#N/A</v>
      </c>
      <c r="J291" s="26" t="e">
        <v>#N/A</v>
      </c>
      <c r="K291" s="29" t="e">
        <v>#N/A</v>
      </c>
      <c r="L291" s="26" t="e">
        <v>#N/A</v>
      </c>
      <c r="M291" s="30" t="e">
        <v>#N/A</v>
      </c>
      <c r="N291" s="29" t="e">
        <v>#N/A</v>
      </c>
      <c r="O291" s="31" t="e">
        <v>#N/A</v>
      </c>
      <c r="P291" s="31" t="e">
        <v>#N/A</v>
      </c>
      <c r="Q291" s="31" t="e">
        <v>#N/A</v>
      </c>
      <c r="R291" s="29">
        <v>289361184</v>
      </c>
      <c r="S291" s="29" t="e">
        <v>#N/A</v>
      </c>
      <c r="T291" s="29" t="e">
        <v>#N/A</v>
      </c>
      <c r="U291" s="29" t="e">
        <v>#N/A</v>
      </c>
      <c r="V291" s="29" t="e">
        <v>#N/A</v>
      </c>
      <c r="W291" t="e">
        <v>#N/A</v>
      </c>
      <c r="X291" t="s">
        <v>66</v>
      </c>
      <c r="Y291" t="s">
        <v>108</v>
      </c>
      <c r="Z291" t="s">
        <v>108</v>
      </c>
    </row>
    <row r="292" spans="2:26" x14ac:dyDescent="0.25">
      <c r="B292" t="s">
        <v>811</v>
      </c>
      <c r="C292" s="26" t="s">
        <v>812</v>
      </c>
      <c r="D292" s="26">
        <v>11.927630707769227</v>
      </c>
      <c r="E292" s="26">
        <v>45.888357256778306</v>
      </c>
      <c r="F292" s="26">
        <v>39.581243567051956</v>
      </c>
      <c r="G292" s="27">
        <v>-0.75699852662597344</v>
      </c>
      <c r="H292" s="28">
        <v>-6.186078913823259</v>
      </c>
      <c r="I292" s="28">
        <v>-19.946699611408139</v>
      </c>
      <c r="J292" s="26">
        <v>-14.166513519441791</v>
      </c>
      <c r="K292" s="29">
        <v>-0.25126097306532463</v>
      </c>
      <c r="L292" s="26">
        <v>12.119242800129438</v>
      </c>
      <c r="M292" s="30">
        <v>0.31077716677010225</v>
      </c>
      <c r="N292" s="29" t="e">
        <v>#N/A</v>
      </c>
      <c r="O292" s="31">
        <v>42.473870758648886</v>
      </c>
      <c r="P292" s="31">
        <v>-1254000</v>
      </c>
      <c r="Q292" s="31">
        <v>76016000</v>
      </c>
      <c r="R292" s="29">
        <v>1073822464</v>
      </c>
      <c r="S292" s="29" t="e">
        <v>#N/A</v>
      </c>
      <c r="T292" s="29" t="e">
        <v>#N/A</v>
      </c>
      <c r="U292" s="29">
        <v>4.3291141281246279</v>
      </c>
      <c r="V292" s="29" t="e">
        <v>#N/A</v>
      </c>
      <c r="W292">
        <v>3.5561655467500337</v>
      </c>
      <c r="X292" t="s">
        <v>71</v>
      </c>
      <c r="Y292" t="s">
        <v>101</v>
      </c>
      <c r="Z292" t="s">
        <v>115</v>
      </c>
    </row>
    <row r="293" spans="2:26" x14ac:dyDescent="0.25">
      <c r="B293" t="s">
        <v>813</v>
      </c>
      <c r="C293" s="26" t="s">
        <v>814</v>
      </c>
      <c r="D293" s="26" t="e">
        <v>#N/A</v>
      </c>
      <c r="E293" s="26" t="e">
        <v>#N/A</v>
      </c>
      <c r="F293" s="26" t="e">
        <v>#N/A</v>
      </c>
      <c r="G293" s="27" t="e">
        <v>#N/A</v>
      </c>
      <c r="H293" s="28" t="e">
        <v>#N/A</v>
      </c>
      <c r="I293" s="28" t="e">
        <v>#N/A</v>
      </c>
      <c r="J293" s="26" t="e">
        <v>#N/A</v>
      </c>
      <c r="K293" s="29" t="e">
        <v>#N/A</v>
      </c>
      <c r="L293" s="26" t="e">
        <v>#N/A</v>
      </c>
      <c r="M293" s="30" t="e">
        <v>#N/A</v>
      </c>
      <c r="N293" s="29" t="e">
        <v>#N/A</v>
      </c>
      <c r="O293" s="31" t="e">
        <v>#N/A</v>
      </c>
      <c r="P293" s="31" t="e">
        <v>#N/A</v>
      </c>
      <c r="Q293" s="31" t="e">
        <v>#N/A</v>
      </c>
      <c r="R293" s="29">
        <v>468286592</v>
      </c>
      <c r="S293" s="29" t="e">
        <v>#N/A</v>
      </c>
      <c r="T293" s="29" t="e">
        <v>#N/A</v>
      </c>
      <c r="U293" s="29" t="e">
        <v>#N/A</v>
      </c>
      <c r="V293" s="29" t="e">
        <v>#N/A</v>
      </c>
      <c r="W293" t="e">
        <v>#N/A</v>
      </c>
      <c r="X293" t="s">
        <v>66</v>
      </c>
      <c r="Y293" t="s">
        <v>108</v>
      </c>
      <c r="Z293" t="s">
        <v>108</v>
      </c>
    </row>
    <row r="294" spans="2:26" x14ac:dyDescent="0.25">
      <c r="B294" t="s">
        <v>815</v>
      </c>
      <c r="C294" s="26" t="s">
        <v>816</v>
      </c>
      <c r="D294" s="26" t="e">
        <v>#N/A</v>
      </c>
      <c r="E294" s="26" t="e">
        <v>#N/A</v>
      </c>
      <c r="F294" s="26" t="e">
        <v>#N/A</v>
      </c>
      <c r="G294" s="27" t="e">
        <v>#N/A</v>
      </c>
      <c r="H294" s="28" t="e">
        <v>#N/A</v>
      </c>
      <c r="I294" s="28" t="e">
        <v>#N/A</v>
      </c>
      <c r="J294" s="26" t="e">
        <v>#N/A</v>
      </c>
      <c r="K294" s="29" t="e">
        <v>#N/A</v>
      </c>
      <c r="L294" s="26" t="e">
        <v>#N/A</v>
      </c>
      <c r="M294" s="30" t="e">
        <v>#N/A</v>
      </c>
      <c r="N294" s="29" t="e">
        <v>#N/A</v>
      </c>
      <c r="O294" s="31" t="e">
        <v>#N/A</v>
      </c>
      <c r="P294" s="31" t="e">
        <v>#N/A</v>
      </c>
      <c r="Q294" s="31" t="e">
        <v>#N/A</v>
      </c>
      <c r="R294" s="29">
        <v>336380416</v>
      </c>
      <c r="S294" s="29" t="e">
        <v>#N/A</v>
      </c>
      <c r="T294" s="29" t="e">
        <v>#N/A</v>
      </c>
      <c r="U294" s="29" t="e">
        <v>#N/A</v>
      </c>
      <c r="V294" s="29" t="e">
        <v>#N/A</v>
      </c>
      <c r="W294" t="e">
        <v>#N/A</v>
      </c>
      <c r="X294" t="s">
        <v>66</v>
      </c>
      <c r="Y294" t="s">
        <v>108</v>
      </c>
      <c r="Z294" t="s">
        <v>108</v>
      </c>
    </row>
    <row r="295" spans="2:26" x14ac:dyDescent="0.25">
      <c r="B295" t="s">
        <v>817</v>
      </c>
      <c r="C295" s="26" t="s">
        <v>818</v>
      </c>
      <c r="D295" s="26" t="e">
        <v>#N/A</v>
      </c>
      <c r="E295" s="26" t="e">
        <v>#N/A</v>
      </c>
      <c r="F295" s="26" t="e">
        <v>#N/A</v>
      </c>
      <c r="G295" s="27" t="e">
        <v>#N/A</v>
      </c>
      <c r="H295" s="28" t="e">
        <v>#N/A</v>
      </c>
      <c r="I295" s="28" t="e">
        <v>#N/A</v>
      </c>
      <c r="J295" s="26" t="e">
        <v>#N/A</v>
      </c>
      <c r="K295" s="29" t="e">
        <v>#N/A</v>
      </c>
      <c r="L295" s="26" t="e">
        <v>#N/A</v>
      </c>
      <c r="M295" s="30" t="e">
        <v>#N/A</v>
      </c>
      <c r="N295" s="29" t="e">
        <v>#N/A</v>
      </c>
      <c r="O295" s="31" t="e">
        <v>#N/A</v>
      </c>
      <c r="P295" s="31" t="e">
        <v>#N/A</v>
      </c>
      <c r="Q295" s="31" t="e">
        <v>#N/A</v>
      </c>
      <c r="R295" s="29">
        <v>708853568</v>
      </c>
      <c r="S295" s="29" t="e">
        <v>#N/A</v>
      </c>
      <c r="T295" s="29" t="e">
        <v>#N/A</v>
      </c>
      <c r="U295" s="29" t="e">
        <v>#N/A</v>
      </c>
      <c r="V295" s="29" t="e">
        <v>#N/A</v>
      </c>
      <c r="W295" t="e">
        <v>#N/A</v>
      </c>
      <c r="X295" t="s">
        <v>66</v>
      </c>
      <c r="Y295" t="s">
        <v>108</v>
      </c>
      <c r="Z295" t="s">
        <v>108</v>
      </c>
    </row>
    <row r="296" spans="2:26" x14ac:dyDescent="0.25">
      <c r="B296" t="s">
        <v>819</v>
      </c>
      <c r="C296" s="26" t="s">
        <v>820</v>
      </c>
      <c r="D296" s="26" t="e">
        <v>#N/A</v>
      </c>
      <c r="E296" s="26" t="e">
        <v>#N/A</v>
      </c>
      <c r="F296" s="26" t="e">
        <v>#N/A</v>
      </c>
      <c r="G296" s="27" t="e">
        <v>#N/A</v>
      </c>
      <c r="H296" s="28" t="e">
        <v>#N/A</v>
      </c>
      <c r="I296" s="28" t="e">
        <v>#N/A</v>
      </c>
      <c r="J296" s="26" t="e">
        <v>#N/A</v>
      </c>
      <c r="K296" s="29" t="e">
        <v>#N/A</v>
      </c>
      <c r="L296" s="26" t="e">
        <v>#N/A</v>
      </c>
      <c r="M296" s="30" t="e">
        <v>#N/A</v>
      </c>
      <c r="N296" s="29" t="e">
        <v>#N/A</v>
      </c>
      <c r="O296" s="31" t="e">
        <v>#N/A</v>
      </c>
      <c r="P296" s="31" t="e">
        <v>#N/A</v>
      </c>
      <c r="Q296" s="31" t="e">
        <v>#N/A</v>
      </c>
      <c r="R296" s="29">
        <v>202177712</v>
      </c>
      <c r="S296" s="29" t="e">
        <v>#N/A</v>
      </c>
      <c r="T296" s="29" t="e">
        <v>#N/A</v>
      </c>
      <c r="U296" s="29" t="e">
        <v>#N/A</v>
      </c>
      <c r="V296" s="29" t="e">
        <v>#N/A</v>
      </c>
      <c r="W296" t="e">
        <v>#N/A</v>
      </c>
      <c r="X296" t="s">
        <v>66</v>
      </c>
      <c r="Y296" t="s">
        <v>108</v>
      </c>
      <c r="Z296" t="s">
        <v>108</v>
      </c>
    </row>
    <row r="297" spans="2:26" x14ac:dyDescent="0.25">
      <c r="B297" t="s">
        <v>821</v>
      </c>
      <c r="C297" s="26" t="s">
        <v>820</v>
      </c>
      <c r="D297" s="26" t="e">
        <v>#N/A</v>
      </c>
      <c r="E297" s="26" t="e">
        <v>#N/A</v>
      </c>
      <c r="F297" s="26" t="e">
        <v>#N/A</v>
      </c>
      <c r="G297" s="27" t="e">
        <v>#N/A</v>
      </c>
      <c r="H297" s="28" t="e">
        <v>#N/A</v>
      </c>
      <c r="I297" s="28" t="e">
        <v>#N/A</v>
      </c>
      <c r="J297" s="26" t="e">
        <v>#N/A</v>
      </c>
      <c r="K297" s="29" t="e">
        <v>#N/A</v>
      </c>
      <c r="L297" s="26" t="e">
        <v>#N/A</v>
      </c>
      <c r="M297" s="30" t="e">
        <v>#N/A</v>
      </c>
      <c r="N297" s="29" t="e">
        <v>#N/A</v>
      </c>
      <c r="O297" s="31" t="e">
        <v>#N/A</v>
      </c>
      <c r="P297" s="31" t="e">
        <v>#N/A</v>
      </c>
      <c r="Q297" s="31" t="e">
        <v>#N/A</v>
      </c>
      <c r="R297" s="29">
        <v>760326400</v>
      </c>
      <c r="S297" s="29" t="e">
        <v>#N/A</v>
      </c>
      <c r="T297" s="29" t="e">
        <v>#N/A</v>
      </c>
      <c r="U297" s="29" t="e">
        <v>#N/A</v>
      </c>
      <c r="V297" s="29" t="e">
        <v>#N/A</v>
      </c>
      <c r="W297" t="e">
        <v>#N/A</v>
      </c>
      <c r="X297" t="s">
        <v>66</v>
      </c>
      <c r="Y297" t="s">
        <v>108</v>
      </c>
      <c r="Z297" t="s">
        <v>108</v>
      </c>
    </row>
    <row r="298" spans="2:26" x14ac:dyDescent="0.25">
      <c r="B298" t="s">
        <v>822</v>
      </c>
      <c r="C298" s="26" t="s">
        <v>823</v>
      </c>
      <c r="D298" s="26" t="e">
        <v>#N/A</v>
      </c>
      <c r="E298" s="26" t="e">
        <v>#N/A</v>
      </c>
      <c r="F298" s="26" t="e">
        <v>#N/A</v>
      </c>
      <c r="G298" s="27" t="e">
        <v>#N/A</v>
      </c>
      <c r="H298" s="28" t="e">
        <v>#N/A</v>
      </c>
      <c r="I298" s="28" t="e">
        <v>#N/A</v>
      </c>
      <c r="J298" s="26" t="e">
        <v>#N/A</v>
      </c>
      <c r="K298" s="29" t="e">
        <v>#N/A</v>
      </c>
      <c r="L298" s="26" t="e">
        <v>#N/A</v>
      </c>
      <c r="M298" s="30" t="e">
        <v>#N/A</v>
      </c>
      <c r="N298" s="29" t="e">
        <v>#N/A</v>
      </c>
      <c r="O298" s="31" t="e">
        <v>#N/A</v>
      </c>
      <c r="P298" s="31" t="e">
        <v>#N/A</v>
      </c>
      <c r="Q298" s="31" t="e">
        <v>#N/A</v>
      </c>
      <c r="R298" s="29">
        <v>823165952</v>
      </c>
      <c r="S298" s="29" t="e">
        <v>#N/A</v>
      </c>
      <c r="T298" s="29" t="e">
        <v>#N/A</v>
      </c>
      <c r="U298" s="29" t="e">
        <v>#N/A</v>
      </c>
      <c r="V298" s="29" t="e">
        <v>#N/A</v>
      </c>
      <c r="W298" t="e">
        <v>#N/A</v>
      </c>
      <c r="X298" t="s">
        <v>66</v>
      </c>
      <c r="Y298" t="s">
        <v>108</v>
      </c>
      <c r="Z298" t="s">
        <v>108</v>
      </c>
    </row>
    <row r="299" spans="2:26" x14ac:dyDescent="0.25">
      <c r="B299" t="s">
        <v>824</v>
      </c>
      <c r="C299" s="26" t="s">
        <v>825</v>
      </c>
      <c r="D299" s="26" t="e">
        <v>#N/A</v>
      </c>
      <c r="E299" s="26" t="e">
        <v>#N/A</v>
      </c>
      <c r="F299" s="26" t="e">
        <v>#N/A</v>
      </c>
      <c r="G299" s="27" t="e">
        <v>#N/A</v>
      </c>
      <c r="H299" s="28" t="e">
        <v>#N/A</v>
      </c>
      <c r="I299" s="28" t="e">
        <v>#N/A</v>
      </c>
      <c r="J299" s="26" t="e">
        <v>#N/A</v>
      </c>
      <c r="K299" s="29" t="e">
        <v>#N/A</v>
      </c>
      <c r="L299" s="26" t="e">
        <v>#N/A</v>
      </c>
      <c r="M299" s="30" t="e">
        <v>#N/A</v>
      </c>
      <c r="N299" s="29" t="e">
        <v>#N/A</v>
      </c>
      <c r="O299" s="31" t="e">
        <v>#N/A</v>
      </c>
      <c r="P299" s="31" t="e">
        <v>#N/A</v>
      </c>
      <c r="Q299" s="31" t="e">
        <v>#N/A</v>
      </c>
      <c r="R299" s="29">
        <v>1948783104</v>
      </c>
      <c r="S299" s="29" t="e">
        <v>#N/A</v>
      </c>
      <c r="T299" s="29" t="e">
        <v>#N/A</v>
      </c>
      <c r="U299" s="29" t="e">
        <v>#N/A</v>
      </c>
      <c r="V299" s="29" t="e">
        <v>#N/A</v>
      </c>
      <c r="W299" t="e">
        <v>#N/A</v>
      </c>
      <c r="X299" t="s">
        <v>66</v>
      </c>
      <c r="Y299" t="s">
        <v>108</v>
      </c>
      <c r="Z299" t="s">
        <v>108</v>
      </c>
    </row>
    <row r="300" spans="2:26" x14ac:dyDescent="0.25">
      <c r="B300" t="s">
        <v>826</v>
      </c>
      <c r="C300" s="26" t="s">
        <v>827</v>
      </c>
      <c r="D300" s="26" t="e">
        <v>#N/A</v>
      </c>
      <c r="E300" s="26" t="e">
        <v>#N/A</v>
      </c>
      <c r="F300" s="26" t="e">
        <v>#N/A</v>
      </c>
      <c r="G300" s="27" t="e">
        <v>#N/A</v>
      </c>
      <c r="H300" s="28" t="e">
        <v>#N/A</v>
      </c>
      <c r="I300" s="28" t="e">
        <v>#N/A</v>
      </c>
      <c r="J300" s="26" t="e">
        <v>#N/A</v>
      </c>
      <c r="K300" s="29" t="e">
        <v>#N/A</v>
      </c>
      <c r="L300" s="26" t="e">
        <v>#N/A</v>
      </c>
      <c r="M300" s="30" t="e">
        <v>#N/A</v>
      </c>
      <c r="N300" s="29" t="e">
        <v>#N/A</v>
      </c>
      <c r="O300" s="31" t="e">
        <v>#N/A</v>
      </c>
      <c r="P300" s="31" t="e">
        <v>#N/A</v>
      </c>
      <c r="Q300" s="31" t="e">
        <v>#N/A</v>
      </c>
      <c r="R300" s="29">
        <v>333102560</v>
      </c>
      <c r="S300" s="29" t="e">
        <v>#N/A</v>
      </c>
      <c r="T300" s="29" t="e">
        <v>#N/A</v>
      </c>
      <c r="U300" s="29" t="e">
        <v>#N/A</v>
      </c>
      <c r="V300" s="29" t="e">
        <v>#N/A</v>
      </c>
      <c r="W300" t="e">
        <v>#N/A</v>
      </c>
      <c r="X300" t="s">
        <v>66</v>
      </c>
      <c r="Y300" t="s">
        <v>108</v>
      </c>
      <c r="Z300" t="s">
        <v>108</v>
      </c>
    </row>
    <row r="301" spans="2:26" x14ac:dyDescent="0.25">
      <c r="B301" t="s">
        <v>828</v>
      </c>
      <c r="C301" s="26" t="s">
        <v>829</v>
      </c>
      <c r="D301" s="26" t="e">
        <v>#N/A</v>
      </c>
      <c r="E301" s="26" t="e">
        <v>#N/A</v>
      </c>
      <c r="F301" s="26" t="e">
        <v>#N/A</v>
      </c>
      <c r="G301" s="27" t="e">
        <v>#N/A</v>
      </c>
      <c r="H301" s="28" t="e">
        <v>#N/A</v>
      </c>
      <c r="I301" s="28" t="e">
        <v>#N/A</v>
      </c>
      <c r="J301" s="26" t="e">
        <v>#N/A</v>
      </c>
      <c r="K301" s="29" t="e">
        <v>#N/A</v>
      </c>
      <c r="L301" s="26" t="e">
        <v>#N/A</v>
      </c>
      <c r="M301" s="30" t="e">
        <v>#N/A</v>
      </c>
      <c r="N301" s="29" t="e">
        <v>#N/A</v>
      </c>
      <c r="O301" s="31" t="e">
        <v>#N/A</v>
      </c>
      <c r="P301" s="31" t="e">
        <v>#N/A</v>
      </c>
      <c r="Q301" s="31" t="e">
        <v>#N/A</v>
      </c>
      <c r="R301" s="29">
        <v>743683072</v>
      </c>
      <c r="S301" s="29" t="e">
        <v>#N/A</v>
      </c>
      <c r="T301" s="29" t="e">
        <v>#N/A</v>
      </c>
      <c r="U301" s="29" t="e">
        <v>#N/A</v>
      </c>
      <c r="V301" s="29" t="e">
        <v>#N/A</v>
      </c>
      <c r="W301" t="e">
        <v>#N/A</v>
      </c>
      <c r="X301" t="s">
        <v>66</v>
      </c>
      <c r="Y301" t="s">
        <v>108</v>
      </c>
      <c r="Z301" t="s">
        <v>108</v>
      </c>
    </row>
    <row r="302" spans="2:26" x14ac:dyDescent="0.25">
      <c r="B302" t="s">
        <v>830</v>
      </c>
      <c r="C302" s="26" t="s">
        <v>831</v>
      </c>
      <c r="D302" s="26" t="e">
        <v>#N/A</v>
      </c>
      <c r="E302" s="26" t="e">
        <v>#N/A</v>
      </c>
      <c r="F302" s="26" t="e">
        <v>#N/A</v>
      </c>
      <c r="G302" s="27" t="e">
        <v>#N/A</v>
      </c>
      <c r="H302" s="28" t="e">
        <v>#N/A</v>
      </c>
      <c r="I302" s="28" t="e">
        <v>#N/A</v>
      </c>
      <c r="J302" s="26" t="e">
        <v>#N/A</v>
      </c>
      <c r="K302" s="29" t="e">
        <v>#N/A</v>
      </c>
      <c r="L302" s="26" t="e">
        <v>#N/A</v>
      </c>
      <c r="M302" s="30" t="e">
        <v>#N/A</v>
      </c>
      <c r="N302" s="29" t="e">
        <v>#N/A</v>
      </c>
      <c r="O302" s="31" t="e">
        <v>#N/A</v>
      </c>
      <c r="P302" s="31" t="e">
        <v>#N/A</v>
      </c>
      <c r="Q302" s="31" t="e">
        <v>#N/A</v>
      </c>
      <c r="R302" s="29">
        <v>568353600</v>
      </c>
      <c r="S302" s="29" t="e">
        <v>#N/A</v>
      </c>
      <c r="T302" s="29" t="e">
        <v>#N/A</v>
      </c>
      <c r="U302" s="29" t="e">
        <v>#N/A</v>
      </c>
      <c r="V302" s="29" t="e">
        <v>#N/A</v>
      </c>
      <c r="W302" t="e">
        <v>#N/A</v>
      </c>
      <c r="X302" t="s">
        <v>66</v>
      </c>
      <c r="Y302" t="s">
        <v>108</v>
      </c>
      <c r="Z302" t="s">
        <v>108</v>
      </c>
    </row>
    <row r="303" spans="2:26" x14ac:dyDescent="0.25">
      <c r="B303" t="s">
        <v>832</v>
      </c>
      <c r="C303" s="26" t="s">
        <v>833</v>
      </c>
      <c r="D303" s="26">
        <v>0.23911768953485737</v>
      </c>
      <c r="E303" s="26">
        <v>0.17583814497725636</v>
      </c>
      <c r="F303" s="26">
        <v>0.23911768953485737</v>
      </c>
      <c r="G303" s="27">
        <v>0.17583814497725636</v>
      </c>
      <c r="H303" s="28">
        <v>16.385418449426663</v>
      </c>
      <c r="I303" s="28">
        <v>45.258867645816146</v>
      </c>
      <c r="J303" s="26">
        <v>38.997280247799644</v>
      </c>
      <c r="K303" s="29">
        <v>3.6493536940566888E-2</v>
      </c>
      <c r="L303" s="26">
        <v>0.17681940700808632</v>
      </c>
      <c r="M303" s="30">
        <v>0.8422242620032504</v>
      </c>
      <c r="N303" s="29" t="e">
        <v>#N/A</v>
      </c>
      <c r="O303" s="31">
        <v>12.175174223860175</v>
      </c>
      <c r="P303" s="31">
        <v>195879000</v>
      </c>
      <c r="Q303" s="31">
        <v>195879000</v>
      </c>
      <c r="R303" s="29">
        <v>642800000</v>
      </c>
      <c r="S303" s="29">
        <v>12.552637658837119</v>
      </c>
      <c r="T303" s="29">
        <v>14.811085870059063</v>
      </c>
      <c r="U303" s="29" t="e">
        <v>#N/A</v>
      </c>
      <c r="V303" s="29">
        <v>18.986191646075675</v>
      </c>
      <c r="W303">
        <v>3.0364935953386327</v>
      </c>
      <c r="X303" t="s">
        <v>66</v>
      </c>
      <c r="Y303" t="s">
        <v>84</v>
      </c>
      <c r="Z303" t="s">
        <v>237</v>
      </c>
    </row>
    <row r="304" spans="2:26" x14ac:dyDescent="0.25">
      <c r="B304" t="s">
        <v>834</v>
      </c>
      <c r="C304" s="26" t="s">
        <v>835</v>
      </c>
      <c r="D304" s="26" t="e">
        <v>#N/A</v>
      </c>
      <c r="E304" s="26" t="e">
        <v>#N/A</v>
      </c>
      <c r="F304" s="26" t="e">
        <v>#N/A</v>
      </c>
      <c r="G304" s="27" t="e">
        <v>#N/A</v>
      </c>
      <c r="H304" s="28" t="e">
        <v>#N/A</v>
      </c>
      <c r="I304" s="28" t="e">
        <v>#N/A</v>
      </c>
      <c r="J304" s="26" t="e">
        <v>#N/A</v>
      </c>
      <c r="K304" s="29" t="e">
        <v>#N/A</v>
      </c>
      <c r="L304" s="26" t="e">
        <v>#N/A</v>
      </c>
      <c r="M304" s="30" t="e">
        <v>#N/A</v>
      </c>
      <c r="N304" s="29" t="e">
        <v>#N/A</v>
      </c>
      <c r="O304" s="31" t="e">
        <v>#N/A</v>
      </c>
      <c r="P304" s="31" t="e">
        <v>#N/A</v>
      </c>
      <c r="Q304" s="31" t="e">
        <v>#N/A</v>
      </c>
      <c r="R304" s="29">
        <v>1016477568</v>
      </c>
      <c r="S304" s="29" t="e">
        <v>#N/A</v>
      </c>
      <c r="T304" s="29" t="e">
        <v>#N/A</v>
      </c>
      <c r="U304" s="29" t="e">
        <v>#N/A</v>
      </c>
      <c r="V304" s="29" t="e">
        <v>#N/A</v>
      </c>
      <c r="W304" t="e">
        <v>#N/A</v>
      </c>
      <c r="X304" t="s">
        <v>66</v>
      </c>
      <c r="Y304" t="s">
        <v>108</v>
      </c>
      <c r="Z304" t="s">
        <v>108</v>
      </c>
    </row>
    <row r="305" spans="2:26" x14ac:dyDescent="0.25">
      <c r="B305" t="s">
        <v>836</v>
      </c>
      <c r="C305" s="26" t="s">
        <v>837</v>
      </c>
      <c r="D305" s="26" t="e">
        <v>#N/A</v>
      </c>
      <c r="E305" s="26" t="e">
        <v>#N/A</v>
      </c>
      <c r="F305" s="26" t="e">
        <v>#N/A</v>
      </c>
      <c r="G305" s="27" t="e">
        <v>#N/A</v>
      </c>
      <c r="H305" s="28" t="e">
        <v>#N/A</v>
      </c>
      <c r="I305" s="28" t="e">
        <v>#N/A</v>
      </c>
      <c r="J305" s="26" t="e">
        <v>#N/A</v>
      </c>
      <c r="K305" s="29" t="e">
        <v>#N/A</v>
      </c>
      <c r="L305" s="26" t="e">
        <v>#N/A</v>
      </c>
      <c r="M305" s="30" t="e">
        <v>#N/A</v>
      </c>
      <c r="N305" s="29" t="e">
        <v>#N/A</v>
      </c>
      <c r="O305" s="31" t="e">
        <v>#N/A</v>
      </c>
      <c r="P305" s="31" t="e">
        <v>#N/A</v>
      </c>
      <c r="Q305" s="31" t="e">
        <v>#N/A</v>
      </c>
      <c r="R305" s="29">
        <v>280452480</v>
      </c>
      <c r="S305" s="29" t="e">
        <v>#N/A</v>
      </c>
      <c r="T305" s="29" t="e">
        <v>#N/A</v>
      </c>
      <c r="U305" s="29" t="e">
        <v>#N/A</v>
      </c>
      <c r="V305" s="29" t="e">
        <v>#N/A</v>
      </c>
      <c r="W305" t="e">
        <v>#N/A</v>
      </c>
      <c r="X305" t="s">
        <v>66</v>
      </c>
      <c r="Y305" t="s">
        <v>108</v>
      </c>
      <c r="Z305" t="s">
        <v>108</v>
      </c>
    </row>
    <row r="306" spans="2:26" x14ac:dyDescent="0.25">
      <c r="B306" t="s">
        <v>838</v>
      </c>
      <c r="C306" s="26" t="s">
        <v>839</v>
      </c>
      <c r="D306" s="26" t="e">
        <v>#N/A</v>
      </c>
      <c r="E306" s="26" t="e">
        <v>#N/A</v>
      </c>
      <c r="F306" s="26" t="e">
        <v>#N/A</v>
      </c>
      <c r="G306" s="27" t="e">
        <v>#N/A</v>
      </c>
      <c r="H306" s="28" t="e">
        <v>#N/A</v>
      </c>
      <c r="I306" s="28" t="e">
        <v>#N/A</v>
      </c>
      <c r="J306" s="26" t="e">
        <v>#N/A</v>
      </c>
      <c r="K306" s="29" t="e">
        <v>#N/A</v>
      </c>
      <c r="L306" s="26" t="e">
        <v>#N/A</v>
      </c>
      <c r="M306" s="30" t="e">
        <v>#N/A</v>
      </c>
      <c r="N306" s="29" t="e">
        <v>#N/A</v>
      </c>
      <c r="O306" s="31" t="e">
        <v>#N/A</v>
      </c>
      <c r="P306" s="31" t="e">
        <v>#N/A</v>
      </c>
      <c r="Q306" s="31" t="e">
        <v>#N/A</v>
      </c>
      <c r="R306" s="29">
        <v>332500416</v>
      </c>
      <c r="S306" s="29" t="e">
        <v>#N/A</v>
      </c>
      <c r="T306" s="29" t="e">
        <v>#N/A</v>
      </c>
      <c r="U306" s="29" t="e">
        <v>#N/A</v>
      </c>
      <c r="V306" s="29" t="e">
        <v>#N/A</v>
      </c>
      <c r="W306" t="e">
        <v>#N/A</v>
      </c>
      <c r="X306" t="s">
        <v>66</v>
      </c>
      <c r="Y306" t="s">
        <v>108</v>
      </c>
      <c r="Z306" t="s">
        <v>108</v>
      </c>
    </row>
    <row r="307" spans="2:26" x14ac:dyDescent="0.25">
      <c r="B307" t="s">
        <v>840</v>
      </c>
      <c r="C307" s="26" t="s">
        <v>841</v>
      </c>
      <c r="D307" s="26" t="e">
        <v>#N/A</v>
      </c>
      <c r="E307" s="26" t="e">
        <v>#N/A</v>
      </c>
      <c r="F307" s="26" t="e">
        <v>#N/A</v>
      </c>
      <c r="G307" s="27" t="e">
        <v>#N/A</v>
      </c>
      <c r="H307" s="28" t="e">
        <v>#N/A</v>
      </c>
      <c r="I307" s="28" t="e">
        <v>#N/A</v>
      </c>
      <c r="J307" s="26" t="e">
        <v>#N/A</v>
      </c>
      <c r="K307" s="29" t="e">
        <v>#N/A</v>
      </c>
      <c r="L307" s="26" t="e">
        <v>#N/A</v>
      </c>
      <c r="M307" s="30" t="e">
        <v>#N/A</v>
      </c>
      <c r="N307" s="29" t="e">
        <v>#N/A</v>
      </c>
      <c r="O307" s="31" t="e">
        <v>#N/A</v>
      </c>
      <c r="P307" s="31" t="e">
        <v>#N/A</v>
      </c>
      <c r="Q307" s="31" t="e">
        <v>#N/A</v>
      </c>
      <c r="R307" s="29">
        <v>454525824</v>
      </c>
      <c r="S307" s="29" t="e">
        <v>#N/A</v>
      </c>
      <c r="T307" s="29" t="e">
        <v>#N/A</v>
      </c>
      <c r="U307" s="29" t="e">
        <v>#N/A</v>
      </c>
      <c r="V307" s="29" t="e">
        <v>#N/A</v>
      </c>
      <c r="W307" t="e">
        <v>#N/A</v>
      </c>
      <c r="X307" t="s">
        <v>66</v>
      </c>
      <c r="Y307" t="s">
        <v>108</v>
      </c>
      <c r="Z307" t="s">
        <v>108</v>
      </c>
    </row>
    <row r="308" spans="2:26" x14ac:dyDescent="0.25">
      <c r="B308" t="s">
        <v>842</v>
      </c>
      <c r="C308" s="26" t="s">
        <v>843</v>
      </c>
      <c r="D308" s="26" t="e">
        <v>#N/A</v>
      </c>
      <c r="E308" s="26" t="e">
        <v>#N/A</v>
      </c>
      <c r="F308" s="26" t="e">
        <v>#N/A</v>
      </c>
      <c r="G308" s="27" t="e">
        <v>#N/A</v>
      </c>
      <c r="H308" s="28" t="e">
        <v>#N/A</v>
      </c>
      <c r="I308" s="28" t="e">
        <v>#N/A</v>
      </c>
      <c r="J308" s="26" t="e">
        <v>#N/A</v>
      </c>
      <c r="K308" s="29" t="e">
        <v>#N/A</v>
      </c>
      <c r="L308" s="26" t="e">
        <v>#N/A</v>
      </c>
      <c r="M308" s="30" t="e">
        <v>#N/A</v>
      </c>
      <c r="N308" s="29" t="e">
        <v>#N/A</v>
      </c>
      <c r="O308" s="31" t="e">
        <v>#N/A</v>
      </c>
      <c r="P308" s="31" t="e">
        <v>#N/A</v>
      </c>
      <c r="Q308" s="31" t="e">
        <v>#N/A</v>
      </c>
      <c r="R308" s="29">
        <v>615539264</v>
      </c>
      <c r="S308" s="29" t="e">
        <v>#N/A</v>
      </c>
      <c r="T308" s="29" t="e">
        <v>#N/A</v>
      </c>
      <c r="U308" s="29" t="e">
        <v>#N/A</v>
      </c>
      <c r="V308" s="29" t="e">
        <v>#N/A</v>
      </c>
      <c r="W308" t="e">
        <v>#N/A</v>
      </c>
      <c r="X308" t="s">
        <v>66</v>
      </c>
      <c r="Y308" t="s">
        <v>108</v>
      </c>
      <c r="Z308" t="s">
        <v>108</v>
      </c>
    </row>
    <row r="309" spans="2:26" x14ac:dyDescent="0.25">
      <c r="B309" t="s">
        <v>844</v>
      </c>
      <c r="C309" s="26" t="s">
        <v>845</v>
      </c>
      <c r="D309" s="26" t="e">
        <v>#N/A</v>
      </c>
      <c r="E309" s="26" t="e">
        <v>#N/A</v>
      </c>
      <c r="F309" s="26" t="e">
        <v>#N/A</v>
      </c>
      <c r="G309" s="27" t="e">
        <v>#N/A</v>
      </c>
      <c r="H309" s="28" t="e">
        <v>#N/A</v>
      </c>
      <c r="I309" s="28" t="e">
        <v>#N/A</v>
      </c>
      <c r="J309" s="26" t="e">
        <v>#N/A</v>
      </c>
      <c r="K309" s="29" t="e">
        <v>#N/A</v>
      </c>
      <c r="L309" s="26" t="e">
        <v>#N/A</v>
      </c>
      <c r="M309" s="30" t="e">
        <v>#N/A</v>
      </c>
      <c r="N309" s="29" t="e">
        <v>#N/A</v>
      </c>
      <c r="O309" s="31" t="e">
        <v>#N/A</v>
      </c>
      <c r="P309" s="31" t="e">
        <v>#N/A</v>
      </c>
      <c r="Q309" s="31" t="e">
        <v>#N/A</v>
      </c>
      <c r="R309" s="29">
        <v>337967552</v>
      </c>
      <c r="S309" s="29" t="e">
        <v>#N/A</v>
      </c>
      <c r="T309" s="29" t="e">
        <v>#N/A</v>
      </c>
      <c r="U309" s="29" t="e">
        <v>#N/A</v>
      </c>
      <c r="V309" s="29" t="e">
        <v>#N/A</v>
      </c>
      <c r="W309" t="e">
        <v>#N/A</v>
      </c>
      <c r="X309" t="s">
        <v>66</v>
      </c>
      <c r="Y309" t="s">
        <v>108</v>
      </c>
      <c r="Z309" t="s">
        <v>108</v>
      </c>
    </row>
    <row r="310" spans="2:26" x14ac:dyDescent="0.25">
      <c r="B310" t="s">
        <v>846</v>
      </c>
      <c r="C310" s="26" t="s">
        <v>847</v>
      </c>
      <c r="D310" s="26" t="e">
        <v>#N/A</v>
      </c>
      <c r="E310" s="26" t="e">
        <v>#N/A</v>
      </c>
      <c r="F310" s="26" t="e">
        <v>#N/A</v>
      </c>
      <c r="G310" s="27" t="e">
        <v>#N/A</v>
      </c>
      <c r="H310" s="28" t="e">
        <v>#N/A</v>
      </c>
      <c r="I310" s="28" t="e">
        <v>#N/A</v>
      </c>
      <c r="J310" s="26" t="e">
        <v>#N/A</v>
      </c>
      <c r="K310" s="29" t="e">
        <v>#N/A</v>
      </c>
      <c r="L310" s="26" t="e">
        <v>#N/A</v>
      </c>
      <c r="M310" s="30" t="e">
        <v>#N/A</v>
      </c>
      <c r="N310" s="29" t="e">
        <v>#N/A</v>
      </c>
      <c r="O310" s="31" t="e">
        <v>#N/A</v>
      </c>
      <c r="P310" s="31" t="e">
        <v>#N/A</v>
      </c>
      <c r="Q310" s="31" t="e">
        <v>#N/A</v>
      </c>
      <c r="R310" s="29">
        <v>257963984</v>
      </c>
      <c r="S310" s="29" t="e">
        <v>#N/A</v>
      </c>
      <c r="T310" s="29" t="e">
        <v>#N/A</v>
      </c>
      <c r="U310" s="29" t="e">
        <v>#N/A</v>
      </c>
      <c r="V310" s="29" t="e">
        <v>#N/A</v>
      </c>
      <c r="W310" t="e">
        <v>#N/A</v>
      </c>
      <c r="X310" t="s">
        <v>66</v>
      </c>
      <c r="Y310" t="s">
        <v>108</v>
      </c>
      <c r="Z310" t="s">
        <v>108</v>
      </c>
    </row>
    <row r="311" spans="2:26" x14ac:dyDescent="0.25">
      <c r="B311" t="s">
        <v>848</v>
      </c>
      <c r="C311" s="26" t="s">
        <v>849</v>
      </c>
      <c r="D311" s="26" t="e">
        <v>#N/A</v>
      </c>
      <c r="E311" s="26" t="e">
        <v>#N/A</v>
      </c>
      <c r="F311" s="26" t="e">
        <v>#N/A</v>
      </c>
      <c r="G311" s="27" t="e">
        <v>#N/A</v>
      </c>
      <c r="H311" s="28" t="e">
        <v>#N/A</v>
      </c>
      <c r="I311" s="28" t="e">
        <v>#N/A</v>
      </c>
      <c r="J311" s="26" t="e">
        <v>#N/A</v>
      </c>
      <c r="K311" s="29" t="e">
        <v>#N/A</v>
      </c>
      <c r="L311" s="26" t="e">
        <v>#N/A</v>
      </c>
      <c r="M311" s="30" t="e">
        <v>#N/A</v>
      </c>
      <c r="N311" s="29" t="e">
        <v>#N/A</v>
      </c>
      <c r="O311" s="31" t="e">
        <v>#N/A</v>
      </c>
      <c r="P311" s="31" t="e">
        <v>#N/A</v>
      </c>
      <c r="Q311" s="31" t="e">
        <v>#N/A</v>
      </c>
      <c r="R311" s="29">
        <v>354402816</v>
      </c>
      <c r="S311" s="29" t="e">
        <v>#N/A</v>
      </c>
      <c r="T311" s="29" t="e">
        <v>#N/A</v>
      </c>
      <c r="U311" s="29" t="e">
        <v>#N/A</v>
      </c>
      <c r="V311" s="29" t="e">
        <v>#N/A</v>
      </c>
      <c r="W311" t="e">
        <v>#N/A</v>
      </c>
      <c r="X311" t="s">
        <v>66</v>
      </c>
      <c r="Y311" t="s">
        <v>108</v>
      </c>
      <c r="Z311" t="s">
        <v>108</v>
      </c>
    </row>
    <row r="312" spans="2:26" x14ac:dyDescent="0.25">
      <c r="B312" t="s">
        <v>850</v>
      </c>
      <c r="C312" s="26" t="s">
        <v>851</v>
      </c>
      <c r="D312" s="26" t="e">
        <v>#N/A</v>
      </c>
      <c r="E312" s="26" t="e">
        <v>#N/A</v>
      </c>
      <c r="F312" s="26" t="e">
        <v>#N/A</v>
      </c>
      <c r="G312" s="27" t="e">
        <v>#N/A</v>
      </c>
      <c r="H312" s="28" t="e">
        <v>#N/A</v>
      </c>
      <c r="I312" s="28" t="e">
        <v>#N/A</v>
      </c>
      <c r="J312" s="26" t="e">
        <v>#N/A</v>
      </c>
      <c r="K312" s="29" t="e">
        <v>#N/A</v>
      </c>
      <c r="L312" s="26" t="e">
        <v>#N/A</v>
      </c>
      <c r="M312" s="30" t="e">
        <v>#N/A</v>
      </c>
      <c r="N312" s="29" t="e">
        <v>#N/A</v>
      </c>
      <c r="O312" s="31" t="e">
        <v>#N/A</v>
      </c>
      <c r="P312" s="31" t="e">
        <v>#N/A</v>
      </c>
      <c r="Q312" s="31" t="e">
        <v>#N/A</v>
      </c>
      <c r="R312" s="29">
        <v>254826496</v>
      </c>
      <c r="S312" s="29" t="e">
        <v>#N/A</v>
      </c>
      <c r="T312" s="29" t="e">
        <v>#N/A</v>
      </c>
      <c r="U312" s="29" t="e">
        <v>#N/A</v>
      </c>
      <c r="V312" s="29" t="e">
        <v>#N/A</v>
      </c>
      <c r="W312" t="e">
        <v>#N/A</v>
      </c>
      <c r="X312" t="s">
        <v>66</v>
      </c>
      <c r="Y312" t="s">
        <v>108</v>
      </c>
      <c r="Z312" t="s">
        <v>108</v>
      </c>
    </row>
    <row r="313" spans="2:26" x14ac:dyDescent="0.25">
      <c r="B313" t="s">
        <v>852</v>
      </c>
      <c r="C313" s="26" t="s">
        <v>853</v>
      </c>
      <c r="D313" s="26">
        <v>5.6278974316923689</v>
      </c>
      <c r="E313" s="26">
        <v>16.227350987947855</v>
      </c>
      <c r="F313" s="26">
        <v>5.6278974316923689</v>
      </c>
      <c r="G313" s="27">
        <v>16.227350987947855</v>
      </c>
      <c r="H313" s="28">
        <v>25.654503553044361</v>
      </c>
      <c r="I313" s="28">
        <v>39.580866052338557</v>
      </c>
      <c r="J313" s="26">
        <v>44.077874220454312</v>
      </c>
      <c r="K313" s="29">
        <v>-1.0009171194070847</v>
      </c>
      <c r="L313" s="26">
        <v>-3.0194508812583387</v>
      </c>
      <c r="M313" s="30">
        <v>0.8606614743121217</v>
      </c>
      <c r="N313" s="29" t="e">
        <v>#N/A</v>
      </c>
      <c r="O313" s="31">
        <v>45.533209937192794</v>
      </c>
      <c r="P313" s="31">
        <v>12197000</v>
      </c>
      <c r="Q313" s="31">
        <v>12197000</v>
      </c>
      <c r="R313" s="29">
        <v>3139633920</v>
      </c>
      <c r="S313" s="29">
        <v>11.678177656063479</v>
      </c>
      <c r="T313" s="29">
        <v>11.722536512014017</v>
      </c>
      <c r="U313" s="29">
        <v>6.2045768699046286</v>
      </c>
      <c r="V313" s="29">
        <v>17.65534743518586</v>
      </c>
      <c r="W313">
        <v>4.7296620775969958</v>
      </c>
      <c r="X313" t="s">
        <v>73</v>
      </c>
      <c r="Y313" t="s">
        <v>203</v>
      </c>
      <c r="Z313" t="s">
        <v>204</v>
      </c>
    </row>
    <row r="314" spans="2:26" x14ac:dyDescent="0.25">
      <c r="B314" t="s">
        <v>854</v>
      </c>
      <c r="C314" s="26" t="s">
        <v>855</v>
      </c>
      <c r="D314" s="26" t="e">
        <v>#N/A</v>
      </c>
      <c r="E314" s="26" t="e">
        <v>#N/A</v>
      </c>
      <c r="F314" s="26" t="e">
        <v>#N/A</v>
      </c>
      <c r="G314" s="27" t="e">
        <v>#N/A</v>
      </c>
      <c r="H314" s="28" t="e">
        <v>#N/A</v>
      </c>
      <c r="I314" s="28" t="e">
        <v>#N/A</v>
      </c>
      <c r="J314" s="26" t="e">
        <v>#N/A</v>
      </c>
      <c r="K314" s="29" t="e">
        <v>#N/A</v>
      </c>
      <c r="L314" s="26" t="e">
        <v>#N/A</v>
      </c>
      <c r="M314" s="30" t="e">
        <v>#N/A</v>
      </c>
      <c r="N314" s="29" t="e">
        <v>#N/A</v>
      </c>
      <c r="O314" s="31" t="e">
        <v>#N/A</v>
      </c>
      <c r="P314" s="31" t="e">
        <v>#N/A</v>
      </c>
      <c r="Q314" s="31" t="e">
        <v>#N/A</v>
      </c>
      <c r="R314" s="29">
        <v>273409248</v>
      </c>
      <c r="S314" s="29" t="e">
        <v>#N/A</v>
      </c>
      <c r="T314" s="29" t="e">
        <v>#N/A</v>
      </c>
      <c r="U314" s="29" t="e">
        <v>#N/A</v>
      </c>
      <c r="V314" s="29" t="e">
        <v>#N/A</v>
      </c>
      <c r="W314" t="e">
        <v>#N/A</v>
      </c>
      <c r="X314" t="s">
        <v>66</v>
      </c>
      <c r="Y314" t="s">
        <v>108</v>
      </c>
      <c r="Z314" t="s">
        <v>108</v>
      </c>
    </row>
    <row r="315" spans="2:26" x14ac:dyDescent="0.25">
      <c r="B315" t="s">
        <v>856</v>
      </c>
      <c r="C315" s="26" t="s">
        <v>857</v>
      </c>
      <c r="D315" s="26" t="e">
        <v>#N/A</v>
      </c>
      <c r="E315" s="26" t="e">
        <v>#N/A</v>
      </c>
      <c r="F315" s="26" t="e">
        <v>#N/A</v>
      </c>
      <c r="G315" s="27" t="e">
        <v>#N/A</v>
      </c>
      <c r="H315" s="28" t="e">
        <v>#N/A</v>
      </c>
      <c r="I315" s="28" t="e">
        <v>#N/A</v>
      </c>
      <c r="J315" s="26" t="e">
        <v>#N/A</v>
      </c>
      <c r="K315" s="29" t="e">
        <v>#N/A</v>
      </c>
      <c r="L315" s="26" t="e">
        <v>#N/A</v>
      </c>
      <c r="M315" s="30" t="e">
        <v>#N/A</v>
      </c>
      <c r="N315" s="29" t="e">
        <v>#N/A</v>
      </c>
      <c r="O315" s="31" t="e">
        <v>#N/A</v>
      </c>
      <c r="P315" s="31" t="e">
        <v>#N/A</v>
      </c>
      <c r="Q315" s="31" t="e">
        <v>#N/A</v>
      </c>
      <c r="R315" s="29">
        <v>298778240</v>
      </c>
      <c r="S315" s="29" t="e">
        <v>#N/A</v>
      </c>
      <c r="T315" s="29" t="e">
        <v>#N/A</v>
      </c>
      <c r="U315" s="29" t="e">
        <v>#N/A</v>
      </c>
      <c r="V315" s="29" t="e">
        <v>#N/A</v>
      </c>
      <c r="W315" t="e">
        <v>#N/A</v>
      </c>
      <c r="X315" t="s">
        <v>66</v>
      </c>
      <c r="Y315" t="s">
        <v>108</v>
      </c>
      <c r="Z315" t="s">
        <v>108</v>
      </c>
    </row>
    <row r="316" spans="2:26" x14ac:dyDescent="0.25">
      <c r="B316" t="s">
        <v>858</v>
      </c>
      <c r="C316" s="26" t="s">
        <v>859</v>
      </c>
      <c r="D316" s="26" t="e">
        <v>#N/A</v>
      </c>
      <c r="E316" s="26">
        <v>9.6788406375568944E-2</v>
      </c>
      <c r="F316" s="26" t="e">
        <v>#N/A</v>
      </c>
      <c r="G316" s="27">
        <v>9.440055131095576E-2</v>
      </c>
      <c r="H316" s="28">
        <v>10.270594948955814</v>
      </c>
      <c r="I316" s="28" t="e">
        <v>#N/A</v>
      </c>
      <c r="J316" s="26">
        <v>11.784387305775645</v>
      </c>
      <c r="K316" s="29">
        <v>0.40584229005898176</v>
      </c>
      <c r="L316" s="26">
        <v>3.2711066056162692</v>
      </c>
      <c r="M316" s="30">
        <v>0.35140819109063393</v>
      </c>
      <c r="N316" s="29" t="e">
        <v>#N/A</v>
      </c>
      <c r="O316" s="31" t="e">
        <v>#N/A</v>
      </c>
      <c r="P316" s="31">
        <v>2725843000</v>
      </c>
      <c r="Q316" s="31">
        <v>2794793000</v>
      </c>
      <c r="R316" s="29">
        <v>2290530560</v>
      </c>
      <c r="S316" s="29">
        <v>8.1738909024586288</v>
      </c>
      <c r="T316" s="29">
        <v>13.640450744102917</v>
      </c>
      <c r="U316" s="29">
        <v>-14.871925568196742</v>
      </c>
      <c r="V316" s="29">
        <v>16.600952359287355</v>
      </c>
      <c r="W316">
        <v>1.6988416284520229</v>
      </c>
      <c r="X316" t="s">
        <v>73</v>
      </c>
      <c r="Y316" t="s">
        <v>169</v>
      </c>
      <c r="Z316" t="s">
        <v>187</v>
      </c>
    </row>
    <row r="317" spans="2:26" x14ac:dyDescent="0.25">
      <c r="B317" t="s">
        <v>860</v>
      </c>
      <c r="C317" s="26" t="s">
        <v>861</v>
      </c>
      <c r="D317" s="26">
        <v>0.63939811777380107</v>
      </c>
      <c r="E317" s="26">
        <v>-1.9944782346957839</v>
      </c>
      <c r="F317" s="26">
        <v>-4.5980007567225444E-2</v>
      </c>
      <c r="G317" s="27">
        <v>-0.55009733195923505</v>
      </c>
      <c r="H317" s="28">
        <v>-41.484281467332082</v>
      </c>
      <c r="I317" s="28">
        <v>1.9843949034787165</v>
      </c>
      <c r="J317" s="26">
        <v>-25.004646512551993</v>
      </c>
      <c r="K317" s="29">
        <v>-0.19115871670391205</v>
      </c>
      <c r="L317" s="26">
        <v>0.94248761259478542</v>
      </c>
      <c r="M317" s="30">
        <v>0.4630232128057426</v>
      </c>
      <c r="N317" s="29">
        <v>7.4248484066572057E-2</v>
      </c>
      <c r="O317" s="31" t="e">
        <v>#N/A</v>
      </c>
      <c r="P317" s="31">
        <v>48173000</v>
      </c>
      <c r="Q317" s="31">
        <v>174660000</v>
      </c>
      <c r="R317" s="29">
        <v>324868192</v>
      </c>
      <c r="S317" s="29" t="e">
        <v>#N/A</v>
      </c>
      <c r="T317" s="29" t="e">
        <v>#N/A</v>
      </c>
      <c r="U317" s="29">
        <v>-5.1737906061298853</v>
      </c>
      <c r="V317" s="29" t="e">
        <v>#N/A</v>
      </c>
      <c r="W317">
        <v>1.7129635283941336</v>
      </c>
      <c r="X317" t="s">
        <v>91</v>
      </c>
      <c r="Y317" t="s">
        <v>94</v>
      </c>
      <c r="Z317" t="s">
        <v>230</v>
      </c>
    </row>
    <row r="318" spans="2:26" x14ac:dyDescent="0.25">
      <c r="B318" t="s">
        <v>862</v>
      </c>
      <c r="C318" s="26" t="s">
        <v>863</v>
      </c>
      <c r="D318" s="26" t="e">
        <v>#N/A</v>
      </c>
      <c r="E318" s="26" t="e">
        <v>#N/A</v>
      </c>
      <c r="F318" s="26" t="e">
        <v>#N/A</v>
      </c>
      <c r="G318" s="27" t="e">
        <v>#N/A</v>
      </c>
      <c r="H318" s="28" t="e">
        <v>#N/A</v>
      </c>
      <c r="I318" s="28" t="e">
        <v>#N/A</v>
      </c>
      <c r="J318" s="26" t="e">
        <v>#N/A</v>
      </c>
      <c r="K318" s="29" t="e">
        <v>#N/A</v>
      </c>
      <c r="L318" s="26" t="e">
        <v>#N/A</v>
      </c>
      <c r="M318" s="30" t="e">
        <v>#N/A</v>
      </c>
      <c r="N318" s="29" t="e">
        <v>#N/A</v>
      </c>
      <c r="O318" s="31" t="e">
        <v>#N/A</v>
      </c>
      <c r="P318" s="31" t="e">
        <v>#N/A</v>
      </c>
      <c r="Q318" s="31" t="e">
        <v>#N/A</v>
      </c>
      <c r="R318" s="29">
        <v>222566080</v>
      </c>
      <c r="S318" s="29" t="e">
        <v>#N/A</v>
      </c>
      <c r="T318" s="29" t="e">
        <v>#N/A</v>
      </c>
      <c r="U318" s="29" t="e">
        <v>#N/A</v>
      </c>
      <c r="V318" s="29" t="e">
        <v>#N/A</v>
      </c>
      <c r="W318" t="e">
        <v>#N/A</v>
      </c>
      <c r="X318" t="s">
        <v>66</v>
      </c>
      <c r="Y318" t="s">
        <v>108</v>
      </c>
      <c r="Z318" t="s">
        <v>108</v>
      </c>
    </row>
    <row r="319" spans="2:26" x14ac:dyDescent="0.25">
      <c r="B319" t="s">
        <v>864</v>
      </c>
      <c r="C319" s="26" t="s">
        <v>865</v>
      </c>
      <c r="D319" s="26" t="e">
        <v>#N/A</v>
      </c>
      <c r="E319" s="26" t="e">
        <v>#N/A</v>
      </c>
      <c r="F319" s="26" t="e">
        <v>#N/A</v>
      </c>
      <c r="G319" s="27" t="e">
        <v>#N/A</v>
      </c>
      <c r="H319" s="28" t="e">
        <v>#N/A</v>
      </c>
      <c r="I319" s="28" t="e">
        <v>#N/A</v>
      </c>
      <c r="J319" s="26" t="e">
        <v>#N/A</v>
      </c>
      <c r="K319" s="29" t="e">
        <v>#N/A</v>
      </c>
      <c r="L319" s="26" t="e">
        <v>#N/A</v>
      </c>
      <c r="M319" s="30" t="e">
        <v>#N/A</v>
      </c>
      <c r="N319" s="29" t="e">
        <v>#N/A</v>
      </c>
      <c r="O319" s="31" t="e">
        <v>#N/A</v>
      </c>
      <c r="P319" s="31" t="e">
        <v>#N/A</v>
      </c>
      <c r="Q319" s="31" t="e">
        <v>#N/A</v>
      </c>
      <c r="R319" s="29">
        <v>270085568</v>
      </c>
      <c r="S319" s="29" t="e">
        <v>#N/A</v>
      </c>
      <c r="T319" s="29" t="e">
        <v>#N/A</v>
      </c>
      <c r="U319" s="29" t="e">
        <v>#N/A</v>
      </c>
      <c r="V319" s="29" t="e">
        <v>#N/A</v>
      </c>
      <c r="W319" t="e">
        <v>#N/A</v>
      </c>
      <c r="X319" t="s">
        <v>66</v>
      </c>
      <c r="Y319" t="s">
        <v>108</v>
      </c>
      <c r="Z319" t="s">
        <v>108</v>
      </c>
    </row>
    <row r="320" spans="2:26" x14ac:dyDescent="0.25">
      <c r="B320" t="s">
        <v>866</v>
      </c>
      <c r="C320" s="26" t="s">
        <v>867</v>
      </c>
      <c r="D320" s="26" t="e">
        <v>#N/A</v>
      </c>
      <c r="E320" s="26" t="e">
        <v>#N/A</v>
      </c>
      <c r="F320" s="26" t="e">
        <v>#N/A</v>
      </c>
      <c r="G320" s="27" t="e">
        <v>#N/A</v>
      </c>
      <c r="H320" s="28" t="e">
        <v>#N/A</v>
      </c>
      <c r="I320" s="28" t="e">
        <v>#N/A</v>
      </c>
      <c r="J320" s="26" t="e">
        <v>#N/A</v>
      </c>
      <c r="K320" s="29" t="e">
        <v>#N/A</v>
      </c>
      <c r="L320" s="26" t="e">
        <v>#N/A</v>
      </c>
      <c r="M320" s="30" t="e">
        <v>#N/A</v>
      </c>
      <c r="N320" s="29" t="e">
        <v>#N/A</v>
      </c>
      <c r="O320" s="31" t="e">
        <v>#N/A</v>
      </c>
      <c r="P320" s="31" t="e">
        <v>#N/A</v>
      </c>
      <c r="Q320" s="31" t="e">
        <v>#N/A</v>
      </c>
      <c r="R320" s="29">
        <v>517388864</v>
      </c>
      <c r="S320" s="29" t="e">
        <v>#N/A</v>
      </c>
      <c r="T320" s="29" t="e">
        <v>#N/A</v>
      </c>
      <c r="U320" s="29" t="e">
        <v>#N/A</v>
      </c>
      <c r="V320" s="29" t="e">
        <v>#N/A</v>
      </c>
      <c r="W320" t="e">
        <v>#N/A</v>
      </c>
      <c r="X320" t="s">
        <v>66</v>
      </c>
      <c r="Y320" t="s">
        <v>108</v>
      </c>
      <c r="Z320" t="s">
        <v>108</v>
      </c>
    </row>
    <row r="321" spans="2:26" x14ac:dyDescent="0.25">
      <c r="B321" t="s">
        <v>868</v>
      </c>
      <c r="C321" s="26" t="s">
        <v>869</v>
      </c>
      <c r="D321" s="26" t="e">
        <v>#N/A</v>
      </c>
      <c r="E321" s="26" t="e">
        <v>#N/A</v>
      </c>
      <c r="F321" s="26" t="e">
        <v>#N/A</v>
      </c>
      <c r="G321" s="27" t="e">
        <v>#N/A</v>
      </c>
      <c r="H321" s="28" t="e">
        <v>#N/A</v>
      </c>
      <c r="I321" s="28" t="e">
        <v>#N/A</v>
      </c>
      <c r="J321" s="26" t="e">
        <v>#N/A</v>
      </c>
      <c r="K321" s="29" t="e">
        <v>#N/A</v>
      </c>
      <c r="L321" s="26" t="e">
        <v>#N/A</v>
      </c>
      <c r="M321" s="30" t="e">
        <v>#N/A</v>
      </c>
      <c r="N321" s="29" t="e">
        <v>#N/A</v>
      </c>
      <c r="O321" s="31" t="e">
        <v>#N/A</v>
      </c>
      <c r="P321" s="31" t="e">
        <v>#N/A</v>
      </c>
      <c r="Q321" s="31" t="e">
        <v>#N/A</v>
      </c>
      <c r="R321" s="29">
        <v>509615872</v>
      </c>
      <c r="S321" s="29" t="e">
        <v>#N/A</v>
      </c>
      <c r="T321" s="29" t="e">
        <v>#N/A</v>
      </c>
      <c r="U321" s="29" t="e">
        <v>#N/A</v>
      </c>
      <c r="V321" s="29" t="e">
        <v>#N/A</v>
      </c>
      <c r="W321" t="e">
        <v>#N/A</v>
      </c>
      <c r="X321" t="s">
        <v>66</v>
      </c>
      <c r="Y321" t="s">
        <v>108</v>
      </c>
      <c r="Z321" t="s">
        <v>108</v>
      </c>
    </row>
    <row r="322" spans="2:26" x14ac:dyDescent="0.25">
      <c r="B322" t="s">
        <v>870</v>
      </c>
      <c r="C322" s="26" t="s">
        <v>871</v>
      </c>
      <c r="D322" s="26" t="e">
        <v>#N/A</v>
      </c>
      <c r="E322" s="26" t="e">
        <v>#N/A</v>
      </c>
      <c r="F322" s="26" t="e">
        <v>#N/A</v>
      </c>
      <c r="G322" s="27" t="e">
        <v>#N/A</v>
      </c>
      <c r="H322" s="28" t="e">
        <v>#N/A</v>
      </c>
      <c r="I322" s="28" t="e">
        <v>#N/A</v>
      </c>
      <c r="J322" s="26" t="e">
        <v>#N/A</v>
      </c>
      <c r="K322" s="29" t="e">
        <v>#N/A</v>
      </c>
      <c r="L322" s="26" t="e">
        <v>#N/A</v>
      </c>
      <c r="M322" s="30" t="e">
        <v>#N/A</v>
      </c>
      <c r="N322" s="29" t="e">
        <v>#N/A</v>
      </c>
      <c r="O322" s="31" t="e">
        <v>#N/A</v>
      </c>
      <c r="P322" s="31" t="e">
        <v>#N/A</v>
      </c>
      <c r="Q322" s="31" t="e">
        <v>#N/A</v>
      </c>
      <c r="R322" s="29">
        <v>575912128</v>
      </c>
      <c r="S322" s="29" t="e">
        <v>#N/A</v>
      </c>
      <c r="T322" s="29" t="e">
        <v>#N/A</v>
      </c>
      <c r="U322" s="29" t="e">
        <v>#N/A</v>
      </c>
      <c r="V322" s="29" t="e">
        <v>#N/A</v>
      </c>
      <c r="W322" t="e">
        <v>#N/A</v>
      </c>
      <c r="X322" t="s">
        <v>66</v>
      </c>
      <c r="Y322" t="s">
        <v>108</v>
      </c>
      <c r="Z322" t="s">
        <v>108</v>
      </c>
    </row>
    <row r="323" spans="2:26" x14ac:dyDescent="0.25">
      <c r="B323" t="s">
        <v>872</v>
      </c>
      <c r="C323" s="26" t="s">
        <v>873</v>
      </c>
      <c r="D323" s="26" t="e">
        <v>#N/A</v>
      </c>
      <c r="E323" s="26" t="e">
        <v>#N/A</v>
      </c>
      <c r="F323" s="26" t="e">
        <v>#N/A</v>
      </c>
      <c r="G323" s="27" t="e">
        <v>#N/A</v>
      </c>
      <c r="H323" s="28" t="e">
        <v>#N/A</v>
      </c>
      <c r="I323" s="28" t="e">
        <v>#N/A</v>
      </c>
      <c r="J323" s="26" t="e">
        <v>#N/A</v>
      </c>
      <c r="K323" s="29" t="e">
        <v>#N/A</v>
      </c>
      <c r="L323" s="26" t="e">
        <v>#N/A</v>
      </c>
      <c r="M323" s="30" t="e">
        <v>#N/A</v>
      </c>
      <c r="N323" s="29" t="e">
        <v>#N/A</v>
      </c>
      <c r="O323" s="31" t="e">
        <v>#N/A</v>
      </c>
      <c r="P323" s="31" t="e">
        <v>#N/A</v>
      </c>
      <c r="Q323" s="31" t="e">
        <v>#N/A</v>
      </c>
      <c r="R323" s="29">
        <v>1028427264</v>
      </c>
      <c r="S323" s="29" t="e">
        <v>#N/A</v>
      </c>
      <c r="T323" s="29" t="e">
        <v>#N/A</v>
      </c>
      <c r="U323" s="29" t="e">
        <v>#N/A</v>
      </c>
      <c r="V323" s="29" t="e">
        <v>#N/A</v>
      </c>
      <c r="W323" t="e">
        <v>#N/A</v>
      </c>
      <c r="X323" t="s">
        <v>66</v>
      </c>
      <c r="Y323" t="s">
        <v>108</v>
      </c>
      <c r="Z323" t="s">
        <v>108</v>
      </c>
    </row>
    <row r="324" spans="2:26" x14ac:dyDescent="0.25">
      <c r="B324" t="s">
        <v>874</v>
      </c>
      <c r="C324" s="26" t="s">
        <v>875</v>
      </c>
      <c r="D324" s="26" t="e">
        <v>#N/A</v>
      </c>
      <c r="E324" s="26" t="e">
        <v>#N/A</v>
      </c>
      <c r="F324" s="26" t="e">
        <v>#N/A</v>
      </c>
      <c r="G324" s="27" t="e">
        <v>#N/A</v>
      </c>
      <c r="H324" s="28" t="e">
        <v>#N/A</v>
      </c>
      <c r="I324" s="28" t="e">
        <v>#N/A</v>
      </c>
      <c r="J324" s="26" t="e">
        <v>#N/A</v>
      </c>
      <c r="K324" s="29" t="e">
        <v>#N/A</v>
      </c>
      <c r="L324" s="26" t="e">
        <v>#N/A</v>
      </c>
      <c r="M324" s="30" t="e">
        <v>#N/A</v>
      </c>
      <c r="N324" s="29" t="e">
        <v>#N/A</v>
      </c>
      <c r="O324" s="31" t="e">
        <v>#N/A</v>
      </c>
      <c r="P324" s="31" t="e">
        <v>#N/A</v>
      </c>
      <c r="Q324" s="31" t="e">
        <v>#N/A</v>
      </c>
      <c r="R324" s="29">
        <v>228691696</v>
      </c>
      <c r="S324" s="29" t="e">
        <v>#N/A</v>
      </c>
      <c r="T324" s="29" t="e">
        <v>#N/A</v>
      </c>
      <c r="U324" s="29" t="e">
        <v>#N/A</v>
      </c>
      <c r="V324" s="29" t="e">
        <v>#N/A</v>
      </c>
      <c r="W324" t="e">
        <v>#N/A</v>
      </c>
      <c r="X324" t="s">
        <v>66</v>
      </c>
      <c r="Y324" t="s">
        <v>108</v>
      </c>
      <c r="Z324" t="s">
        <v>108</v>
      </c>
    </row>
    <row r="325" spans="2:26" x14ac:dyDescent="0.25">
      <c r="B325" t="s">
        <v>876</v>
      </c>
      <c r="C325" s="26" t="s">
        <v>877</v>
      </c>
      <c r="D325" s="26" t="e">
        <v>#N/A</v>
      </c>
      <c r="E325" s="26" t="e">
        <v>#N/A</v>
      </c>
      <c r="F325" s="26" t="e">
        <v>#N/A</v>
      </c>
      <c r="G325" s="27" t="e">
        <v>#N/A</v>
      </c>
      <c r="H325" s="28" t="e">
        <v>#N/A</v>
      </c>
      <c r="I325" s="28" t="e">
        <v>#N/A</v>
      </c>
      <c r="J325" s="26" t="e">
        <v>#N/A</v>
      </c>
      <c r="K325" s="29" t="e">
        <v>#N/A</v>
      </c>
      <c r="L325" s="26" t="e">
        <v>#N/A</v>
      </c>
      <c r="M325" s="30" t="e">
        <v>#N/A</v>
      </c>
      <c r="N325" s="29" t="e">
        <v>#N/A</v>
      </c>
      <c r="O325" s="31" t="e">
        <v>#N/A</v>
      </c>
      <c r="P325" s="31" t="e">
        <v>#N/A</v>
      </c>
      <c r="Q325" s="31" t="e">
        <v>#N/A</v>
      </c>
      <c r="R325" s="29">
        <v>457378688</v>
      </c>
      <c r="S325" s="29" t="e">
        <v>#N/A</v>
      </c>
      <c r="T325" s="29" t="e">
        <v>#N/A</v>
      </c>
      <c r="U325" s="29" t="e">
        <v>#N/A</v>
      </c>
      <c r="V325" s="29" t="e">
        <v>#N/A</v>
      </c>
      <c r="W325" t="e">
        <v>#N/A</v>
      </c>
      <c r="X325" t="s">
        <v>66</v>
      </c>
      <c r="Y325" t="s">
        <v>108</v>
      </c>
      <c r="Z325" t="s">
        <v>108</v>
      </c>
    </row>
    <row r="326" spans="2:26" x14ac:dyDescent="0.25">
      <c r="B326" t="s">
        <v>878</v>
      </c>
      <c r="C326" s="26" t="s">
        <v>879</v>
      </c>
      <c r="D326" s="26" t="e">
        <v>#N/A</v>
      </c>
      <c r="E326" s="26" t="e">
        <v>#N/A</v>
      </c>
      <c r="F326" s="26" t="e">
        <v>#N/A</v>
      </c>
      <c r="G326" s="27" t="e">
        <v>#N/A</v>
      </c>
      <c r="H326" s="28" t="e">
        <v>#N/A</v>
      </c>
      <c r="I326" s="28" t="e">
        <v>#N/A</v>
      </c>
      <c r="J326" s="26" t="e">
        <v>#N/A</v>
      </c>
      <c r="K326" s="29" t="e">
        <v>#N/A</v>
      </c>
      <c r="L326" s="26" t="e">
        <v>#N/A</v>
      </c>
      <c r="M326" s="30" t="e">
        <v>#N/A</v>
      </c>
      <c r="N326" s="29" t="e">
        <v>#N/A</v>
      </c>
      <c r="O326" s="31" t="e">
        <v>#N/A</v>
      </c>
      <c r="P326" s="31" t="e">
        <v>#N/A</v>
      </c>
      <c r="Q326" s="31" t="e">
        <v>#N/A</v>
      </c>
      <c r="R326" s="29">
        <v>667298176</v>
      </c>
      <c r="S326" s="29" t="e">
        <v>#N/A</v>
      </c>
      <c r="T326" s="29" t="e">
        <v>#N/A</v>
      </c>
      <c r="U326" s="29" t="e">
        <v>#N/A</v>
      </c>
      <c r="V326" s="29" t="e">
        <v>#N/A</v>
      </c>
      <c r="W326" t="e">
        <v>#N/A</v>
      </c>
      <c r="X326" t="s">
        <v>66</v>
      </c>
      <c r="Y326" t="s">
        <v>108</v>
      </c>
      <c r="Z326" t="s">
        <v>108</v>
      </c>
    </row>
    <row r="327" spans="2:26" x14ac:dyDescent="0.25">
      <c r="B327" t="s">
        <v>880</v>
      </c>
      <c r="C327" s="26" t="s">
        <v>881</v>
      </c>
      <c r="D327" s="26" t="e">
        <v>#N/A</v>
      </c>
      <c r="E327" s="26" t="e">
        <v>#N/A</v>
      </c>
      <c r="F327" s="26" t="e">
        <v>#N/A</v>
      </c>
      <c r="G327" s="27" t="e">
        <v>#N/A</v>
      </c>
      <c r="H327" s="28" t="e">
        <v>#N/A</v>
      </c>
      <c r="I327" s="28" t="e">
        <v>#N/A</v>
      </c>
      <c r="J327" s="26" t="e">
        <v>#N/A</v>
      </c>
      <c r="K327" s="29" t="e">
        <v>#N/A</v>
      </c>
      <c r="L327" s="26" t="e">
        <v>#N/A</v>
      </c>
      <c r="M327" s="30" t="e">
        <v>#N/A</v>
      </c>
      <c r="N327" s="29" t="e">
        <v>#N/A</v>
      </c>
      <c r="O327" s="31" t="e">
        <v>#N/A</v>
      </c>
      <c r="P327" s="31" t="e">
        <v>#N/A</v>
      </c>
      <c r="Q327" s="31" t="e">
        <v>#N/A</v>
      </c>
      <c r="R327" s="29">
        <v>1104770944</v>
      </c>
      <c r="S327" s="29" t="e">
        <v>#N/A</v>
      </c>
      <c r="T327" s="29" t="e">
        <v>#N/A</v>
      </c>
      <c r="U327" s="29" t="e">
        <v>#N/A</v>
      </c>
      <c r="V327" s="29" t="e">
        <v>#N/A</v>
      </c>
      <c r="W327" t="e">
        <v>#N/A</v>
      </c>
      <c r="X327" t="s">
        <v>66</v>
      </c>
      <c r="Y327" t="s">
        <v>108</v>
      </c>
      <c r="Z327" t="s">
        <v>108</v>
      </c>
    </row>
    <row r="328" spans="2:26" x14ac:dyDescent="0.25">
      <c r="B328" t="s">
        <v>882</v>
      </c>
      <c r="C328" s="26" t="s">
        <v>883</v>
      </c>
      <c r="D328" s="26" t="e">
        <v>#N/A</v>
      </c>
      <c r="E328" s="26" t="e">
        <v>#N/A</v>
      </c>
      <c r="F328" s="26" t="e">
        <v>#N/A</v>
      </c>
      <c r="G328" s="27" t="e">
        <v>#N/A</v>
      </c>
      <c r="H328" s="28" t="e">
        <v>#N/A</v>
      </c>
      <c r="I328" s="28" t="e">
        <v>#N/A</v>
      </c>
      <c r="J328" s="26" t="e">
        <v>#N/A</v>
      </c>
      <c r="K328" s="29" t="e">
        <v>#N/A</v>
      </c>
      <c r="L328" s="26" t="e">
        <v>#N/A</v>
      </c>
      <c r="M328" s="30" t="e">
        <v>#N/A</v>
      </c>
      <c r="N328" s="29" t="e">
        <v>#N/A</v>
      </c>
      <c r="O328" s="31" t="e">
        <v>#N/A</v>
      </c>
      <c r="P328" s="31" t="e">
        <v>#N/A</v>
      </c>
      <c r="Q328" s="31" t="e">
        <v>#N/A</v>
      </c>
      <c r="R328" s="29">
        <v>1213496064</v>
      </c>
      <c r="S328" s="29" t="e">
        <v>#N/A</v>
      </c>
      <c r="T328" s="29" t="e">
        <v>#N/A</v>
      </c>
      <c r="U328" s="29" t="e">
        <v>#N/A</v>
      </c>
      <c r="V328" s="29" t="e">
        <v>#N/A</v>
      </c>
      <c r="W328" t="e">
        <v>#N/A</v>
      </c>
      <c r="X328" t="s">
        <v>66</v>
      </c>
      <c r="Y328" t="s">
        <v>108</v>
      </c>
      <c r="Z328" t="s">
        <v>108</v>
      </c>
    </row>
    <row r="329" spans="2:26" x14ac:dyDescent="0.25">
      <c r="B329" t="s">
        <v>884</v>
      </c>
      <c r="C329" s="26" t="s">
        <v>885</v>
      </c>
      <c r="D329" s="26" t="e">
        <v>#N/A</v>
      </c>
      <c r="E329" s="26" t="e">
        <v>#N/A</v>
      </c>
      <c r="F329" s="26" t="e">
        <v>#N/A</v>
      </c>
      <c r="G329" s="27" t="e">
        <v>#N/A</v>
      </c>
      <c r="H329" s="28" t="e">
        <v>#N/A</v>
      </c>
      <c r="I329" s="28" t="e">
        <v>#N/A</v>
      </c>
      <c r="J329" s="26" t="e">
        <v>#N/A</v>
      </c>
      <c r="K329" s="29" t="e">
        <v>#N/A</v>
      </c>
      <c r="L329" s="26" t="e">
        <v>#N/A</v>
      </c>
      <c r="M329" s="30" t="e">
        <v>#N/A</v>
      </c>
      <c r="N329" s="29" t="e">
        <v>#N/A</v>
      </c>
      <c r="O329" s="31" t="e">
        <v>#N/A</v>
      </c>
      <c r="P329" s="31" t="e">
        <v>#N/A</v>
      </c>
      <c r="Q329" s="31" t="e">
        <v>#N/A</v>
      </c>
      <c r="R329" s="29">
        <v>1119613056</v>
      </c>
      <c r="S329" s="29" t="e">
        <v>#N/A</v>
      </c>
      <c r="T329" s="29" t="e">
        <v>#N/A</v>
      </c>
      <c r="U329" s="29" t="e">
        <v>#N/A</v>
      </c>
      <c r="V329" s="29" t="e">
        <v>#N/A</v>
      </c>
      <c r="W329" t="e">
        <v>#N/A</v>
      </c>
      <c r="X329" t="s">
        <v>66</v>
      </c>
      <c r="Y329" t="s">
        <v>108</v>
      </c>
      <c r="Z329" t="s">
        <v>108</v>
      </c>
    </row>
    <row r="330" spans="2:26" x14ac:dyDescent="0.25">
      <c r="B330" t="s">
        <v>886</v>
      </c>
      <c r="C330" s="26" t="s">
        <v>887</v>
      </c>
      <c r="D330" s="26" t="e">
        <v>#N/A</v>
      </c>
      <c r="E330" s="26" t="e">
        <v>#N/A</v>
      </c>
      <c r="F330" s="26" t="e">
        <v>#N/A</v>
      </c>
      <c r="G330" s="27" t="e">
        <v>#N/A</v>
      </c>
      <c r="H330" s="28" t="e">
        <v>#N/A</v>
      </c>
      <c r="I330" s="28" t="e">
        <v>#N/A</v>
      </c>
      <c r="J330" s="26" t="e">
        <v>#N/A</v>
      </c>
      <c r="K330" s="29" t="e">
        <v>#N/A</v>
      </c>
      <c r="L330" s="26" t="e">
        <v>#N/A</v>
      </c>
      <c r="M330" s="30" t="e">
        <v>#N/A</v>
      </c>
      <c r="N330" s="29" t="e">
        <v>#N/A</v>
      </c>
      <c r="O330" s="31" t="e">
        <v>#N/A</v>
      </c>
      <c r="P330" s="31" t="e">
        <v>#N/A</v>
      </c>
      <c r="Q330" s="31" t="e">
        <v>#N/A</v>
      </c>
      <c r="R330" s="29">
        <v>364249664</v>
      </c>
      <c r="S330" s="29" t="e">
        <v>#N/A</v>
      </c>
      <c r="T330" s="29" t="e">
        <v>#N/A</v>
      </c>
      <c r="U330" s="29" t="e">
        <v>#N/A</v>
      </c>
      <c r="V330" s="29" t="e">
        <v>#N/A</v>
      </c>
      <c r="W330" t="e">
        <v>#N/A</v>
      </c>
      <c r="X330" t="s">
        <v>66</v>
      </c>
      <c r="Y330" t="s">
        <v>108</v>
      </c>
      <c r="Z330" t="s">
        <v>108</v>
      </c>
    </row>
    <row r="331" spans="2:26" x14ac:dyDescent="0.25">
      <c r="B331" t="s">
        <v>888</v>
      </c>
      <c r="C331" s="26" t="s">
        <v>889</v>
      </c>
      <c r="D331" s="26" t="e">
        <v>#N/A</v>
      </c>
      <c r="E331" s="26" t="e">
        <v>#N/A</v>
      </c>
      <c r="F331" s="26" t="e">
        <v>#N/A</v>
      </c>
      <c r="G331" s="27" t="e">
        <v>#N/A</v>
      </c>
      <c r="H331" s="28" t="e">
        <v>#N/A</v>
      </c>
      <c r="I331" s="28" t="e">
        <v>#N/A</v>
      </c>
      <c r="J331" s="26" t="e">
        <v>#N/A</v>
      </c>
      <c r="K331" s="29" t="e">
        <v>#N/A</v>
      </c>
      <c r="L331" s="26" t="e">
        <v>#N/A</v>
      </c>
      <c r="M331" s="30" t="e">
        <v>#N/A</v>
      </c>
      <c r="N331" s="29" t="e">
        <v>#N/A</v>
      </c>
      <c r="O331" s="31" t="e">
        <v>#N/A</v>
      </c>
      <c r="P331" s="31" t="e">
        <v>#N/A</v>
      </c>
      <c r="Q331" s="31" t="e">
        <v>#N/A</v>
      </c>
      <c r="R331" s="29">
        <v>253482752</v>
      </c>
      <c r="S331" s="29" t="e">
        <v>#N/A</v>
      </c>
      <c r="T331" s="29" t="e">
        <v>#N/A</v>
      </c>
      <c r="U331" s="29" t="e">
        <v>#N/A</v>
      </c>
      <c r="V331" s="29" t="e">
        <v>#N/A</v>
      </c>
      <c r="W331" t="e">
        <v>#N/A</v>
      </c>
      <c r="X331" t="s">
        <v>66</v>
      </c>
      <c r="Y331" t="s">
        <v>108</v>
      </c>
      <c r="Z331" t="s">
        <v>108</v>
      </c>
    </row>
    <row r="332" spans="2:26" x14ac:dyDescent="0.25">
      <c r="B332" t="s">
        <v>890</v>
      </c>
      <c r="C332" s="26" t="s">
        <v>891</v>
      </c>
      <c r="D332" s="26" t="e">
        <v>#N/A</v>
      </c>
      <c r="E332" s="26" t="e">
        <v>#N/A</v>
      </c>
      <c r="F332" s="26" t="e">
        <v>#N/A</v>
      </c>
      <c r="G332" s="27" t="e">
        <v>#N/A</v>
      </c>
      <c r="H332" s="28" t="e">
        <v>#N/A</v>
      </c>
      <c r="I332" s="28" t="e">
        <v>#N/A</v>
      </c>
      <c r="J332" s="26" t="e">
        <v>#N/A</v>
      </c>
      <c r="K332" s="29" t="e">
        <v>#N/A</v>
      </c>
      <c r="L332" s="26" t="e">
        <v>#N/A</v>
      </c>
      <c r="M332" s="30" t="e">
        <v>#N/A</v>
      </c>
      <c r="N332" s="29" t="e">
        <v>#N/A</v>
      </c>
      <c r="O332" s="31" t="e">
        <v>#N/A</v>
      </c>
      <c r="P332" s="31" t="e">
        <v>#N/A</v>
      </c>
      <c r="Q332" s="31" t="e">
        <v>#N/A</v>
      </c>
      <c r="R332" s="29">
        <v>2582571520</v>
      </c>
      <c r="S332" s="29" t="e">
        <v>#N/A</v>
      </c>
      <c r="T332" s="29" t="e">
        <v>#N/A</v>
      </c>
      <c r="U332" s="29" t="e">
        <v>#N/A</v>
      </c>
      <c r="V332" s="29" t="e">
        <v>#N/A</v>
      </c>
      <c r="W332" t="e">
        <v>#N/A</v>
      </c>
      <c r="X332" t="s">
        <v>66</v>
      </c>
      <c r="Y332" t="s">
        <v>108</v>
      </c>
      <c r="Z332" t="s">
        <v>108</v>
      </c>
    </row>
    <row r="333" spans="2:26" x14ac:dyDescent="0.25">
      <c r="B333" t="s">
        <v>892</v>
      </c>
      <c r="C333" s="26" t="s">
        <v>893</v>
      </c>
      <c r="D333" s="26" t="e">
        <v>#N/A</v>
      </c>
      <c r="E333" s="26" t="e">
        <v>#N/A</v>
      </c>
      <c r="F333" s="26" t="e">
        <v>#N/A</v>
      </c>
      <c r="G333" s="27" t="e">
        <v>#N/A</v>
      </c>
      <c r="H333" s="28" t="e">
        <v>#N/A</v>
      </c>
      <c r="I333" s="28" t="e">
        <v>#N/A</v>
      </c>
      <c r="J333" s="26" t="e">
        <v>#N/A</v>
      </c>
      <c r="K333" s="29" t="e">
        <v>#N/A</v>
      </c>
      <c r="L333" s="26" t="e">
        <v>#N/A</v>
      </c>
      <c r="M333" s="30" t="e">
        <v>#N/A</v>
      </c>
      <c r="N333" s="29" t="e">
        <v>#N/A</v>
      </c>
      <c r="O333" s="31" t="e">
        <v>#N/A</v>
      </c>
      <c r="P333" s="31" t="e">
        <v>#N/A</v>
      </c>
      <c r="Q333" s="31" t="e">
        <v>#N/A</v>
      </c>
      <c r="R333" s="29">
        <v>2014191616</v>
      </c>
      <c r="S333" s="29" t="e">
        <v>#N/A</v>
      </c>
      <c r="T333" s="29" t="e">
        <v>#N/A</v>
      </c>
      <c r="U333" s="29" t="e">
        <v>#N/A</v>
      </c>
      <c r="V333" s="29" t="e">
        <v>#N/A</v>
      </c>
      <c r="W333" t="e">
        <v>#N/A</v>
      </c>
      <c r="X333" t="s">
        <v>66</v>
      </c>
      <c r="Y333" t="s">
        <v>108</v>
      </c>
      <c r="Z333" t="s">
        <v>108</v>
      </c>
    </row>
    <row r="334" spans="2:26" x14ac:dyDescent="0.25">
      <c r="B334" t="s">
        <v>894</v>
      </c>
      <c r="C334" s="26" t="s">
        <v>895</v>
      </c>
      <c r="D334" s="26">
        <v>5.4505274618862568E-3</v>
      </c>
      <c r="E334" s="26">
        <v>1.2457089214066743E-2</v>
      </c>
      <c r="F334" s="26">
        <v>5.4505274618862568E-3</v>
      </c>
      <c r="G334" s="27">
        <v>1.2457089214066743E-2</v>
      </c>
      <c r="H334" s="28" t="e">
        <v>#N/A</v>
      </c>
      <c r="I334" s="28" t="e">
        <v>#N/A</v>
      </c>
      <c r="J334" s="26" t="e">
        <v>#N/A</v>
      </c>
      <c r="K334" s="29">
        <v>0.63283107962809093</v>
      </c>
      <c r="L334" s="26" t="e">
        <v>#N/A</v>
      </c>
      <c r="M334" s="30">
        <v>0.31308063077449672</v>
      </c>
      <c r="N334" s="29" t="e">
        <v>#N/A</v>
      </c>
      <c r="O334" s="31" t="e">
        <v>#N/A</v>
      </c>
      <c r="P334" s="31">
        <v>1263377000</v>
      </c>
      <c r="Q334" s="31">
        <v>1263377000</v>
      </c>
      <c r="R334" s="29">
        <v>318173472</v>
      </c>
      <c r="S334" s="29" t="e">
        <v>#N/A</v>
      </c>
      <c r="T334" s="29" t="e">
        <v>#N/A</v>
      </c>
      <c r="U334" s="29" t="e">
        <v>#N/A</v>
      </c>
      <c r="V334" s="29" t="e">
        <v>#N/A</v>
      </c>
      <c r="W334">
        <v>0.3198173141736253</v>
      </c>
      <c r="X334" t="s">
        <v>66</v>
      </c>
      <c r="Y334" t="s">
        <v>176</v>
      </c>
      <c r="Z334" t="s">
        <v>236</v>
      </c>
    </row>
    <row r="335" spans="2:26" x14ac:dyDescent="0.25">
      <c r="B335" t="s">
        <v>896</v>
      </c>
      <c r="C335" s="26" t="s">
        <v>897</v>
      </c>
      <c r="D335" s="26" t="e">
        <v>#N/A</v>
      </c>
      <c r="E335" s="26">
        <v>-0.63510979304581039</v>
      </c>
      <c r="F335" s="26" t="e">
        <v>#N/A</v>
      </c>
      <c r="G335" s="27">
        <v>-0.63253061436300007</v>
      </c>
      <c r="H335" s="28">
        <v>81.902244982011212</v>
      </c>
      <c r="I335" s="28" t="e">
        <v>#N/A</v>
      </c>
      <c r="J335" s="26">
        <v>-3101.0621693070607</v>
      </c>
      <c r="K335" s="29">
        <v>0.14696555220610535</v>
      </c>
      <c r="L335" s="26">
        <v>-8.5358253561296795</v>
      </c>
      <c r="M335" s="30">
        <v>0.52557235817351911</v>
      </c>
      <c r="N335" s="29" t="e">
        <v>#N/A</v>
      </c>
      <c r="O335" s="31" t="e">
        <v>#N/A</v>
      </c>
      <c r="P335" s="31">
        <v>2306529000</v>
      </c>
      <c r="Q335" s="31">
        <v>2315934000</v>
      </c>
      <c r="R335" s="29">
        <v>1436356224</v>
      </c>
      <c r="S335" s="29" t="e">
        <v>#N/A</v>
      </c>
      <c r="T335" s="29" t="e">
        <v>#N/A</v>
      </c>
      <c r="U335" s="29">
        <v>-5.4350723515227379</v>
      </c>
      <c r="V335" s="29" t="e">
        <v>#N/A</v>
      </c>
      <c r="W335">
        <v>0.71645162076006019</v>
      </c>
      <c r="X335" t="s">
        <v>69</v>
      </c>
      <c r="Y335" t="s">
        <v>70</v>
      </c>
      <c r="Z335" t="s">
        <v>70</v>
      </c>
    </row>
    <row r="336" spans="2:26" x14ac:dyDescent="0.25">
      <c r="B336" t="s">
        <v>898</v>
      </c>
      <c r="C336" s="26" t="s">
        <v>899</v>
      </c>
      <c r="D336" s="26" t="e">
        <v>#N/A</v>
      </c>
      <c r="E336" s="26" t="e">
        <v>#N/A</v>
      </c>
      <c r="F336" s="26" t="e">
        <v>#N/A</v>
      </c>
      <c r="G336" s="27" t="e">
        <v>#N/A</v>
      </c>
      <c r="H336" s="28" t="e">
        <v>#N/A</v>
      </c>
      <c r="I336" s="28" t="e">
        <v>#N/A</v>
      </c>
      <c r="J336" s="26" t="e">
        <v>#N/A</v>
      </c>
      <c r="K336" s="29" t="e">
        <v>#N/A</v>
      </c>
      <c r="L336" s="26" t="e">
        <v>#N/A</v>
      </c>
      <c r="M336" s="30" t="e">
        <v>#N/A</v>
      </c>
      <c r="N336" s="29" t="e">
        <v>#N/A</v>
      </c>
      <c r="O336" s="31" t="e">
        <v>#N/A</v>
      </c>
      <c r="P336" s="31" t="e">
        <v>#N/A</v>
      </c>
      <c r="Q336" s="31" t="e">
        <v>#N/A</v>
      </c>
      <c r="R336" s="29">
        <v>614166976</v>
      </c>
      <c r="S336" s="29" t="e">
        <v>#N/A</v>
      </c>
      <c r="T336" s="29" t="e">
        <v>#N/A</v>
      </c>
      <c r="U336" s="29" t="e">
        <v>#N/A</v>
      </c>
      <c r="V336" s="29" t="e">
        <v>#N/A</v>
      </c>
      <c r="W336" t="e">
        <v>#N/A</v>
      </c>
      <c r="X336" t="s">
        <v>66</v>
      </c>
      <c r="Y336" t="s">
        <v>108</v>
      </c>
      <c r="Z336" t="s">
        <v>108</v>
      </c>
    </row>
    <row r="337" spans="2:26" x14ac:dyDescent="0.25">
      <c r="B337" t="s">
        <v>900</v>
      </c>
      <c r="C337" s="26" t="s">
        <v>901</v>
      </c>
      <c r="D337" s="26" t="e">
        <v>#N/A</v>
      </c>
      <c r="E337" s="26" t="e">
        <v>#N/A</v>
      </c>
      <c r="F337" s="26" t="e">
        <v>#N/A</v>
      </c>
      <c r="G337" s="27" t="e">
        <v>#N/A</v>
      </c>
      <c r="H337" s="28" t="e">
        <v>#N/A</v>
      </c>
      <c r="I337" s="28" t="e">
        <v>#N/A</v>
      </c>
      <c r="J337" s="26" t="e">
        <v>#N/A</v>
      </c>
      <c r="K337" s="29" t="e">
        <v>#N/A</v>
      </c>
      <c r="L337" s="26" t="e">
        <v>#N/A</v>
      </c>
      <c r="M337" s="30" t="e">
        <v>#N/A</v>
      </c>
      <c r="N337" s="29" t="e">
        <v>#N/A</v>
      </c>
      <c r="O337" s="31" t="e">
        <v>#N/A</v>
      </c>
      <c r="P337" s="31" t="e">
        <v>#N/A</v>
      </c>
      <c r="Q337" s="31" t="e">
        <v>#N/A</v>
      </c>
      <c r="R337" s="29">
        <v>1008640128</v>
      </c>
      <c r="S337" s="29" t="e">
        <v>#N/A</v>
      </c>
      <c r="T337" s="29" t="e">
        <v>#N/A</v>
      </c>
      <c r="U337" s="29" t="e">
        <v>#N/A</v>
      </c>
      <c r="V337" s="29" t="e">
        <v>#N/A</v>
      </c>
      <c r="W337" t="e">
        <v>#N/A</v>
      </c>
      <c r="X337" t="s">
        <v>66</v>
      </c>
      <c r="Y337" t="s">
        <v>108</v>
      </c>
      <c r="Z337" t="s">
        <v>108</v>
      </c>
    </row>
    <row r="338" spans="2:26" x14ac:dyDescent="0.25">
      <c r="B338" t="s">
        <v>902</v>
      </c>
      <c r="C338" s="26" t="s">
        <v>903</v>
      </c>
      <c r="D338" s="26" t="e">
        <v>#N/A</v>
      </c>
      <c r="E338" s="26" t="e">
        <v>#N/A</v>
      </c>
      <c r="F338" s="26" t="e">
        <v>#N/A</v>
      </c>
      <c r="G338" s="27" t="e">
        <v>#N/A</v>
      </c>
      <c r="H338" s="28" t="e">
        <v>#N/A</v>
      </c>
      <c r="I338" s="28" t="e">
        <v>#N/A</v>
      </c>
      <c r="J338" s="26" t="e">
        <v>#N/A</v>
      </c>
      <c r="K338" s="29" t="e">
        <v>#N/A</v>
      </c>
      <c r="L338" s="26" t="e">
        <v>#N/A</v>
      </c>
      <c r="M338" s="30" t="e">
        <v>#N/A</v>
      </c>
      <c r="N338" s="29" t="e">
        <v>#N/A</v>
      </c>
      <c r="O338" s="31" t="e">
        <v>#N/A</v>
      </c>
      <c r="P338" s="31" t="e">
        <v>#N/A</v>
      </c>
      <c r="Q338" s="31" t="e">
        <v>#N/A</v>
      </c>
      <c r="R338" s="29">
        <v>226798192</v>
      </c>
      <c r="S338" s="29" t="e">
        <v>#N/A</v>
      </c>
      <c r="T338" s="29" t="e">
        <v>#N/A</v>
      </c>
      <c r="U338" s="29" t="e">
        <v>#N/A</v>
      </c>
      <c r="V338" s="29" t="e">
        <v>#N/A</v>
      </c>
      <c r="W338" t="e">
        <v>#N/A</v>
      </c>
      <c r="X338" t="s">
        <v>66</v>
      </c>
      <c r="Y338" t="s">
        <v>108</v>
      </c>
      <c r="Z338" t="s">
        <v>108</v>
      </c>
    </row>
    <row r="339" spans="2:26" x14ac:dyDescent="0.25">
      <c r="B339" t="s">
        <v>904</v>
      </c>
      <c r="C339" s="26" t="s">
        <v>905</v>
      </c>
      <c r="D339" s="26" t="e">
        <v>#N/A</v>
      </c>
      <c r="E339" s="26" t="e">
        <v>#N/A</v>
      </c>
      <c r="F339" s="26" t="e">
        <v>#N/A</v>
      </c>
      <c r="G339" s="27" t="e">
        <v>#N/A</v>
      </c>
      <c r="H339" s="28" t="e">
        <v>#N/A</v>
      </c>
      <c r="I339" s="28" t="e">
        <v>#N/A</v>
      </c>
      <c r="J339" s="26" t="e">
        <v>#N/A</v>
      </c>
      <c r="K339" s="29" t="e">
        <v>#N/A</v>
      </c>
      <c r="L339" s="26" t="e">
        <v>#N/A</v>
      </c>
      <c r="M339" s="30" t="e">
        <v>#N/A</v>
      </c>
      <c r="N339" s="29" t="e">
        <v>#N/A</v>
      </c>
      <c r="O339" s="31" t="e">
        <v>#N/A</v>
      </c>
      <c r="P339" s="31" t="e">
        <v>#N/A</v>
      </c>
      <c r="Q339" s="31" t="e">
        <v>#N/A</v>
      </c>
      <c r="R339" s="29">
        <v>1329094272</v>
      </c>
      <c r="S339" s="29" t="e">
        <v>#N/A</v>
      </c>
      <c r="T339" s="29" t="e">
        <v>#N/A</v>
      </c>
      <c r="U339" s="29" t="e">
        <v>#N/A</v>
      </c>
      <c r="V339" s="29" t="e">
        <v>#N/A</v>
      </c>
      <c r="W339" t="e">
        <v>#N/A</v>
      </c>
      <c r="X339" t="s">
        <v>66</v>
      </c>
      <c r="Y339" t="s">
        <v>108</v>
      </c>
      <c r="Z339" t="s">
        <v>108</v>
      </c>
    </row>
    <row r="340" spans="2:26" x14ac:dyDescent="0.25">
      <c r="B340" t="s">
        <v>906</v>
      </c>
      <c r="C340" s="26" t="s">
        <v>907</v>
      </c>
      <c r="D340" s="26" t="e">
        <v>#N/A</v>
      </c>
      <c r="E340" s="26">
        <v>8.6636584290224916E-2</v>
      </c>
      <c r="F340" s="26" t="e">
        <v>#N/A</v>
      </c>
      <c r="G340" s="27">
        <v>6.1367333075743789E-2</v>
      </c>
      <c r="H340" s="28" t="e">
        <v>#N/A</v>
      </c>
      <c r="I340" s="28" t="e">
        <v>#N/A</v>
      </c>
      <c r="J340" s="26">
        <v>21.970133352159774</v>
      </c>
      <c r="K340" s="29">
        <v>0.48965448488761332</v>
      </c>
      <c r="L340" s="26" t="e">
        <v>#N/A</v>
      </c>
      <c r="M340" s="30">
        <v>0.43853400194304548</v>
      </c>
      <c r="N340" s="29" t="e">
        <v>#N/A</v>
      </c>
      <c r="O340" s="31" t="e">
        <v>#N/A</v>
      </c>
      <c r="P340" s="31">
        <v>909281000</v>
      </c>
      <c r="Q340" s="31">
        <v>1283696000</v>
      </c>
      <c r="R340" s="29">
        <v>575788608</v>
      </c>
      <c r="S340" s="29" t="e">
        <v>#N/A</v>
      </c>
      <c r="T340" s="29" t="e">
        <v>#N/A</v>
      </c>
      <c r="U340" s="29" t="e">
        <v>#N/A</v>
      </c>
      <c r="V340" s="29" t="e">
        <v>#N/A</v>
      </c>
      <c r="W340">
        <v>0.7295764053156556</v>
      </c>
      <c r="X340" t="s">
        <v>81</v>
      </c>
      <c r="Y340" t="s">
        <v>148</v>
      </c>
      <c r="Z340" t="s">
        <v>206</v>
      </c>
    </row>
    <row r="341" spans="2:26" x14ac:dyDescent="0.25">
      <c r="B341" t="s">
        <v>908</v>
      </c>
      <c r="C341" s="26" t="s">
        <v>909</v>
      </c>
      <c r="D341" s="26" t="e">
        <v>#N/A</v>
      </c>
      <c r="E341" s="26" t="e">
        <v>#N/A</v>
      </c>
      <c r="F341" s="26" t="e">
        <v>#N/A</v>
      </c>
      <c r="G341" s="27" t="e">
        <v>#N/A</v>
      </c>
      <c r="H341" s="28" t="e">
        <v>#N/A</v>
      </c>
      <c r="I341" s="28" t="e">
        <v>#N/A</v>
      </c>
      <c r="J341" s="26" t="e">
        <v>#N/A</v>
      </c>
      <c r="K341" s="29" t="e">
        <v>#N/A</v>
      </c>
      <c r="L341" s="26" t="e">
        <v>#N/A</v>
      </c>
      <c r="M341" s="30" t="e">
        <v>#N/A</v>
      </c>
      <c r="N341" s="29" t="e">
        <v>#N/A</v>
      </c>
      <c r="O341" s="31" t="e">
        <v>#N/A</v>
      </c>
      <c r="P341" s="31" t="e">
        <v>#N/A</v>
      </c>
      <c r="Q341" s="31" t="e">
        <v>#N/A</v>
      </c>
      <c r="R341" s="29">
        <v>250976896</v>
      </c>
      <c r="S341" s="29" t="e">
        <v>#N/A</v>
      </c>
      <c r="T341" s="29" t="e">
        <v>#N/A</v>
      </c>
      <c r="U341" s="29" t="e">
        <v>#N/A</v>
      </c>
      <c r="V341" s="29" t="e">
        <v>#N/A</v>
      </c>
      <c r="W341" t="e">
        <v>#N/A</v>
      </c>
      <c r="X341" t="s">
        <v>66</v>
      </c>
      <c r="Y341" t="s">
        <v>108</v>
      </c>
      <c r="Z341" t="s">
        <v>108</v>
      </c>
    </row>
    <row r="342" spans="2:26" x14ac:dyDescent="0.25">
      <c r="B342" t="s">
        <v>910</v>
      </c>
      <c r="C342" s="26" t="s">
        <v>911</v>
      </c>
      <c r="D342" s="26" t="e">
        <v>#N/A</v>
      </c>
      <c r="E342" s="26" t="e">
        <v>#N/A</v>
      </c>
      <c r="F342" s="26" t="e">
        <v>#N/A</v>
      </c>
      <c r="G342" s="27" t="e">
        <v>#N/A</v>
      </c>
      <c r="H342" s="28" t="e">
        <v>#N/A</v>
      </c>
      <c r="I342" s="28" t="e">
        <v>#N/A</v>
      </c>
      <c r="J342" s="26" t="e">
        <v>#N/A</v>
      </c>
      <c r="K342" s="29" t="e">
        <v>#N/A</v>
      </c>
      <c r="L342" s="26" t="e">
        <v>#N/A</v>
      </c>
      <c r="M342" s="30" t="e">
        <v>#N/A</v>
      </c>
      <c r="N342" s="29" t="e">
        <v>#N/A</v>
      </c>
      <c r="O342" s="31" t="e">
        <v>#N/A</v>
      </c>
      <c r="P342" s="31" t="e">
        <v>#N/A</v>
      </c>
      <c r="Q342" s="31" t="e">
        <v>#N/A</v>
      </c>
      <c r="R342" s="29">
        <v>436489120</v>
      </c>
      <c r="S342" s="29" t="e">
        <v>#N/A</v>
      </c>
      <c r="T342" s="29" t="e">
        <v>#N/A</v>
      </c>
      <c r="U342" s="29" t="e">
        <v>#N/A</v>
      </c>
      <c r="V342" s="29" t="e">
        <v>#N/A</v>
      </c>
      <c r="W342" t="e">
        <v>#N/A</v>
      </c>
      <c r="X342" t="s">
        <v>66</v>
      </c>
      <c r="Y342" t="s">
        <v>108</v>
      </c>
      <c r="Z342" t="s">
        <v>108</v>
      </c>
    </row>
    <row r="343" spans="2:26" x14ac:dyDescent="0.25">
      <c r="B343" t="s">
        <v>912</v>
      </c>
      <c r="C343" s="26" t="s">
        <v>913</v>
      </c>
      <c r="D343" s="26" t="e">
        <v>#N/A</v>
      </c>
      <c r="E343" s="26" t="e">
        <v>#N/A</v>
      </c>
      <c r="F343" s="26" t="e">
        <v>#N/A</v>
      </c>
      <c r="G343" s="27" t="e">
        <v>#N/A</v>
      </c>
      <c r="H343" s="28" t="e">
        <v>#N/A</v>
      </c>
      <c r="I343" s="28" t="e">
        <v>#N/A</v>
      </c>
      <c r="J343" s="26" t="e">
        <v>#N/A</v>
      </c>
      <c r="K343" s="29" t="e">
        <v>#N/A</v>
      </c>
      <c r="L343" s="26" t="e">
        <v>#N/A</v>
      </c>
      <c r="M343" s="30" t="e">
        <v>#N/A</v>
      </c>
      <c r="N343" s="29" t="e">
        <v>#N/A</v>
      </c>
      <c r="O343" s="31" t="e">
        <v>#N/A</v>
      </c>
      <c r="P343" s="31" t="e">
        <v>#N/A</v>
      </c>
      <c r="Q343" s="31" t="e">
        <v>#N/A</v>
      </c>
      <c r="R343" s="29">
        <v>208210176</v>
      </c>
      <c r="S343" s="29" t="e">
        <v>#N/A</v>
      </c>
      <c r="T343" s="29" t="e">
        <v>#N/A</v>
      </c>
      <c r="U343" s="29" t="e">
        <v>#N/A</v>
      </c>
      <c r="V343" s="29" t="e">
        <v>#N/A</v>
      </c>
      <c r="W343" t="e">
        <v>#N/A</v>
      </c>
      <c r="X343" t="s">
        <v>66</v>
      </c>
      <c r="Y343" t="s">
        <v>108</v>
      </c>
      <c r="Z343" t="s">
        <v>108</v>
      </c>
    </row>
    <row r="344" spans="2:26" x14ac:dyDescent="0.25">
      <c r="B344" t="s">
        <v>914</v>
      </c>
      <c r="C344" s="26" t="s">
        <v>915</v>
      </c>
      <c r="D344" s="26" t="e">
        <v>#N/A</v>
      </c>
      <c r="E344" s="26" t="e">
        <v>#N/A</v>
      </c>
      <c r="F344" s="26" t="e">
        <v>#N/A</v>
      </c>
      <c r="G344" s="27" t="e">
        <v>#N/A</v>
      </c>
      <c r="H344" s="28" t="e">
        <v>#N/A</v>
      </c>
      <c r="I344" s="28" t="e">
        <v>#N/A</v>
      </c>
      <c r="J344" s="26" t="e">
        <v>#N/A</v>
      </c>
      <c r="K344" s="29" t="e">
        <v>#N/A</v>
      </c>
      <c r="L344" s="26" t="e">
        <v>#N/A</v>
      </c>
      <c r="M344" s="30" t="e">
        <v>#N/A</v>
      </c>
      <c r="N344" s="29" t="e">
        <v>#N/A</v>
      </c>
      <c r="O344" s="31" t="e">
        <v>#N/A</v>
      </c>
      <c r="P344" s="31" t="e">
        <v>#N/A</v>
      </c>
      <c r="Q344" s="31" t="e">
        <v>#N/A</v>
      </c>
      <c r="R344" s="29">
        <v>847201728</v>
      </c>
      <c r="S344" s="29" t="e">
        <v>#N/A</v>
      </c>
      <c r="T344" s="29" t="e">
        <v>#N/A</v>
      </c>
      <c r="U344" s="29" t="e">
        <v>#N/A</v>
      </c>
      <c r="V344" s="29" t="e">
        <v>#N/A</v>
      </c>
      <c r="W344" t="e">
        <v>#N/A</v>
      </c>
      <c r="X344" t="s">
        <v>66</v>
      </c>
      <c r="Y344" t="s">
        <v>108</v>
      </c>
      <c r="Z344" t="s">
        <v>108</v>
      </c>
    </row>
    <row r="345" spans="2:26" x14ac:dyDescent="0.25">
      <c r="B345" t="s">
        <v>916</v>
      </c>
      <c r="C345" s="26" t="s">
        <v>917</v>
      </c>
      <c r="D345" s="26" t="e">
        <v>#N/A</v>
      </c>
      <c r="E345" s="26">
        <v>-7.9289841750127057E-3</v>
      </c>
      <c r="F345" s="26" t="e">
        <v>#N/A</v>
      </c>
      <c r="G345" s="27">
        <v>-7.9289841750127057E-3</v>
      </c>
      <c r="H345" s="28">
        <v>-8.0034511335384334E-2</v>
      </c>
      <c r="I345" s="28" t="e">
        <v>#N/A</v>
      </c>
      <c r="J345" s="26">
        <v>28.234213955692454</v>
      </c>
      <c r="K345" s="29">
        <v>0.21980786902430713</v>
      </c>
      <c r="L345" s="26">
        <v>30.719465548860356</v>
      </c>
      <c r="M345" s="30">
        <v>0.69588785123815111</v>
      </c>
      <c r="N345" s="29" t="e">
        <v>#N/A</v>
      </c>
      <c r="O345" s="31" t="e">
        <v>#N/A</v>
      </c>
      <c r="P345" s="31">
        <v>2364994000</v>
      </c>
      <c r="Q345" s="31">
        <v>2364994000</v>
      </c>
      <c r="R345" s="29">
        <v>2587196672</v>
      </c>
      <c r="S345" s="29">
        <v>166.14397023840709</v>
      </c>
      <c r="T345" s="29" t="e">
        <v>#N/A</v>
      </c>
      <c r="U345" s="29">
        <v>-4.0492089810480403</v>
      </c>
      <c r="V345" s="29">
        <v>541.02940278894869</v>
      </c>
      <c r="W345">
        <v>1.1321610747804911</v>
      </c>
      <c r="X345" t="s">
        <v>69</v>
      </c>
      <c r="Y345" t="s">
        <v>70</v>
      </c>
      <c r="Z345" t="s">
        <v>70</v>
      </c>
    </row>
    <row r="346" spans="2:26" x14ac:dyDescent="0.25">
      <c r="B346" t="s">
        <v>918</v>
      </c>
      <c r="C346" s="26" t="s">
        <v>919</v>
      </c>
      <c r="D346" s="26" t="e">
        <v>#N/A</v>
      </c>
      <c r="E346" s="26" t="e">
        <v>#N/A</v>
      </c>
      <c r="F346" s="26" t="e">
        <v>#N/A</v>
      </c>
      <c r="G346" s="27" t="e">
        <v>#N/A</v>
      </c>
      <c r="H346" s="28" t="e">
        <v>#N/A</v>
      </c>
      <c r="I346" s="28" t="e">
        <v>#N/A</v>
      </c>
      <c r="J346" s="26" t="e">
        <v>#N/A</v>
      </c>
      <c r="K346" s="29" t="e">
        <v>#N/A</v>
      </c>
      <c r="L346" s="26" t="e">
        <v>#N/A</v>
      </c>
      <c r="M346" s="30" t="e">
        <v>#N/A</v>
      </c>
      <c r="N346" s="29" t="e">
        <v>#N/A</v>
      </c>
      <c r="O346" s="31" t="e">
        <v>#N/A</v>
      </c>
      <c r="P346" s="31" t="e">
        <v>#N/A</v>
      </c>
      <c r="Q346" s="31" t="e">
        <v>#N/A</v>
      </c>
      <c r="R346" s="29">
        <v>306081344</v>
      </c>
      <c r="S346" s="29" t="e">
        <v>#N/A</v>
      </c>
      <c r="T346" s="29" t="e">
        <v>#N/A</v>
      </c>
      <c r="U346" s="29" t="e">
        <v>#N/A</v>
      </c>
      <c r="V346" s="29" t="e">
        <v>#N/A</v>
      </c>
      <c r="W346" t="e">
        <v>#N/A</v>
      </c>
      <c r="X346" t="s">
        <v>66</v>
      </c>
      <c r="Y346" t="s">
        <v>108</v>
      </c>
      <c r="Z346" t="s">
        <v>108</v>
      </c>
    </row>
    <row r="347" spans="2:26" x14ac:dyDescent="0.25">
      <c r="B347" t="s">
        <v>920</v>
      </c>
      <c r="C347" s="26" t="s">
        <v>921</v>
      </c>
      <c r="D347" s="26" t="e">
        <v>#N/A</v>
      </c>
      <c r="E347" s="26" t="e">
        <v>#N/A</v>
      </c>
      <c r="F347" s="26" t="e">
        <v>#N/A</v>
      </c>
      <c r="G347" s="27" t="e">
        <v>#N/A</v>
      </c>
      <c r="H347" s="28" t="e">
        <v>#N/A</v>
      </c>
      <c r="I347" s="28" t="e">
        <v>#N/A</v>
      </c>
      <c r="J347" s="26" t="e">
        <v>#N/A</v>
      </c>
      <c r="K347" s="29" t="e">
        <v>#N/A</v>
      </c>
      <c r="L347" s="26" t="e">
        <v>#N/A</v>
      </c>
      <c r="M347" s="30" t="e">
        <v>#N/A</v>
      </c>
      <c r="N347" s="29" t="e">
        <v>#N/A</v>
      </c>
      <c r="O347" s="31" t="e">
        <v>#N/A</v>
      </c>
      <c r="P347" s="31" t="e">
        <v>#N/A</v>
      </c>
      <c r="Q347" s="31" t="e">
        <v>#N/A</v>
      </c>
      <c r="R347" s="29">
        <v>337245312</v>
      </c>
      <c r="S347" s="29" t="e">
        <v>#N/A</v>
      </c>
      <c r="T347" s="29" t="e">
        <v>#N/A</v>
      </c>
      <c r="U347" s="29" t="e">
        <v>#N/A</v>
      </c>
      <c r="V347" s="29" t="e">
        <v>#N/A</v>
      </c>
      <c r="W347" t="e">
        <v>#N/A</v>
      </c>
      <c r="X347" t="s">
        <v>66</v>
      </c>
      <c r="Y347" t="s">
        <v>108</v>
      </c>
      <c r="Z347" t="s">
        <v>108</v>
      </c>
    </row>
    <row r="348" spans="2:26" x14ac:dyDescent="0.25">
      <c r="B348" t="s">
        <v>922</v>
      </c>
      <c r="C348" s="26" t="s">
        <v>923</v>
      </c>
      <c r="D348" s="26" t="e">
        <v>#N/A</v>
      </c>
      <c r="E348" s="26" t="e">
        <v>#N/A</v>
      </c>
      <c r="F348" s="26" t="e">
        <v>#N/A</v>
      </c>
      <c r="G348" s="27" t="e">
        <v>#N/A</v>
      </c>
      <c r="H348" s="28" t="e">
        <v>#N/A</v>
      </c>
      <c r="I348" s="28" t="e">
        <v>#N/A</v>
      </c>
      <c r="J348" s="26" t="e">
        <v>#N/A</v>
      </c>
      <c r="K348" s="29" t="e">
        <v>#N/A</v>
      </c>
      <c r="L348" s="26" t="e">
        <v>#N/A</v>
      </c>
      <c r="M348" s="30" t="e">
        <v>#N/A</v>
      </c>
      <c r="N348" s="29" t="e">
        <v>#N/A</v>
      </c>
      <c r="O348" s="31" t="e">
        <v>#N/A</v>
      </c>
      <c r="P348" s="31" t="e">
        <v>#N/A</v>
      </c>
      <c r="Q348" s="31" t="e">
        <v>#N/A</v>
      </c>
      <c r="R348" s="29">
        <v>862391552</v>
      </c>
      <c r="S348" s="29" t="e">
        <v>#N/A</v>
      </c>
      <c r="T348" s="29" t="e">
        <v>#N/A</v>
      </c>
      <c r="U348" s="29" t="e">
        <v>#N/A</v>
      </c>
      <c r="V348" s="29" t="e">
        <v>#N/A</v>
      </c>
      <c r="W348" t="e">
        <v>#N/A</v>
      </c>
      <c r="X348" t="s">
        <v>66</v>
      </c>
      <c r="Y348" t="s">
        <v>108</v>
      </c>
      <c r="Z348" t="s">
        <v>108</v>
      </c>
    </row>
    <row r="349" spans="2:26" x14ac:dyDescent="0.25">
      <c r="B349" t="s">
        <v>924</v>
      </c>
      <c r="C349" s="26" t="s">
        <v>925</v>
      </c>
      <c r="D349" s="26" t="e">
        <v>#N/A</v>
      </c>
      <c r="E349" s="26" t="e">
        <v>#N/A</v>
      </c>
      <c r="F349" s="26" t="e">
        <v>#N/A</v>
      </c>
      <c r="G349" s="27" t="e">
        <v>#N/A</v>
      </c>
      <c r="H349" s="28" t="e">
        <v>#N/A</v>
      </c>
      <c r="I349" s="28" t="e">
        <v>#N/A</v>
      </c>
      <c r="J349" s="26" t="e">
        <v>#N/A</v>
      </c>
      <c r="K349" s="29" t="e">
        <v>#N/A</v>
      </c>
      <c r="L349" s="26" t="e">
        <v>#N/A</v>
      </c>
      <c r="M349" s="30" t="e">
        <v>#N/A</v>
      </c>
      <c r="N349" s="29" t="e">
        <v>#N/A</v>
      </c>
      <c r="O349" s="31" t="e">
        <v>#N/A</v>
      </c>
      <c r="P349" s="31" t="e">
        <v>#N/A</v>
      </c>
      <c r="Q349" s="31" t="e">
        <v>#N/A</v>
      </c>
      <c r="R349" s="29">
        <v>983184512</v>
      </c>
      <c r="S349" s="29" t="e">
        <v>#N/A</v>
      </c>
      <c r="T349" s="29" t="e">
        <v>#N/A</v>
      </c>
      <c r="U349" s="29" t="e">
        <v>#N/A</v>
      </c>
      <c r="V349" s="29" t="e">
        <v>#N/A</v>
      </c>
      <c r="W349" t="e">
        <v>#N/A</v>
      </c>
      <c r="X349" t="s">
        <v>66</v>
      </c>
      <c r="Y349" t="s">
        <v>108</v>
      </c>
      <c r="Z349" t="s">
        <v>108</v>
      </c>
    </row>
    <row r="350" spans="2:26" x14ac:dyDescent="0.25">
      <c r="B350" t="s">
        <v>926</v>
      </c>
      <c r="C350" s="26" t="s">
        <v>927</v>
      </c>
      <c r="D350" s="26" t="e">
        <v>#N/A</v>
      </c>
      <c r="E350" s="26" t="e">
        <v>#N/A</v>
      </c>
      <c r="F350" s="26" t="e">
        <v>#N/A</v>
      </c>
      <c r="G350" s="27" t="e">
        <v>#N/A</v>
      </c>
      <c r="H350" s="28" t="e">
        <v>#N/A</v>
      </c>
      <c r="I350" s="28" t="e">
        <v>#N/A</v>
      </c>
      <c r="J350" s="26" t="e">
        <v>#N/A</v>
      </c>
      <c r="K350" s="29" t="e">
        <v>#N/A</v>
      </c>
      <c r="L350" s="26" t="e">
        <v>#N/A</v>
      </c>
      <c r="M350" s="30" t="e">
        <v>#N/A</v>
      </c>
      <c r="N350" s="29" t="e">
        <v>#N/A</v>
      </c>
      <c r="O350" s="31" t="e">
        <v>#N/A</v>
      </c>
      <c r="P350" s="31" t="e">
        <v>#N/A</v>
      </c>
      <c r="Q350" s="31" t="e">
        <v>#N/A</v>
      </c>
      <c r="R350" s="29">
        <v>661564352</v>
      </c>
      <c r="S350" s="29" t="e">
        <v>#N/A</v>
      </c>
      <c r="T350" s="29" t="e">
        <v>#N/A</v>
      </c>
      <c r="U350" s="29" t="e">
        <v>#N/A</v>
      </c>
      <c r="V350" s="29" t="e">
        <v>#N/A</v>
      </c>
      <c r="W350" t="e">
        <v>#N/A</v>
      </c>
      <c r="X350" t="s">
        <v>66</v>
      </c>
      <c r="Y350" t="s">
        <v>108</v>
      </c>
      <c r="Z350" t="s">
        <v>108</v>
      </c>
    </row>
    <row r="351" spans="2:26" x14ac:dyDescent="0.25">
      <c r="B351" t="s">
        <v>928</v>
      </c>
      <c r="C351" s="26" t="s">
        <v>929</v>
      </c>
      <c r="D351" s="26">
        <v>-0.43365022477244863</v>
      </c>
      <c r="E351" s="26">
        <v>-0.73880791254554923</v>
      </c>
      <c r="F351" s="26">
        <v>-0.35930925735584851</v>
      </c>
      <c r="G351" s="27">
        <v>-0.69113708302897492</v>
      </c>
      <c r="H351" s="28">
        <v>-44.511308339949842</v>
      </c>
      <c r="I351" s="28" t="e">
        <v>#N/A</v>
      </c>
      <c r="J351" s="26">
        <v>-781.40592212636977</v>
      </c>
      <c r="K351" s="29">
        <v>-0.41248940218162938</v>
      </c>
      <c r="L351" s="26">
        <v>0.96601780336496901</v>
      </c>
      <c r="M351" s="30">
        <v>0.85329594814380172</v>
      </c>
      <c r="N351" s="29" t="e">
        <v>#N/A</v>
      </c>
      <c r="O351" s="31" t="e">
        <v>#N/A</v>
      </c>
      <c r="P351" s="31">
        <v>107576000</v>
      </c>
      <c r="Q351" s="31">
        <v>114996000</v>
      </c>
      <c r="R351" s="29">
        <v>425587808</v>
      </c>
      <c r="S351" s="29" t="e">
        <v>#N/A</v>
      </c>
      <c r="T351" s="29" t="e">
        <v>#N/A</v>
      </c>
      <c r="U351" s="29">
        <v>-11.879099694510046</v>
      </c>
      <c r="V351" s="29" t="e">
        <v>#N/A</v>
      </c>
      <c r="W351">
        <v>1.9476733220417204</v>
      </c>
      <c r="X351" t="s">
        <v>73</v>
      </c>
      <c r="Y351" t="s">
        <v>180</v>
      </c>
      <c r="Z351" t="s">
        <v>930</v>
      </c>
    </row>
    <row r="352" spans="2:26" x14ac:dyDescent="0.25">
      <c r="B352" t="s">
        <v>931</v>
      </c>
      <c r="C352" s="26" t="s">
        <v>932</v>
      </c>
      <c r="D352" s="26">
        <v>4.4615509171011443</v>
      </c>
      <c r="E352" s="26">
        <v>1.8602107446783407</v>
      </c>
      <c r="F352" s="26">
        <v>0.1211190208066993</v>
      </c>
      <c r="G352" s="27">
        <v>-0.38393647766306316</v>
      </c>
      <c r="H352" s="28">
        <v>-13.158161792921044</v>
      </c>
      <c r="I352" s="28">
        <v>-18.313161825104451</v>
      </c>
      <c r="J352" s="26">
        <v>-20.202471075560634</v>
      </c>
      <c r="K352" s="29">
        <v>-0.68495718254667282</v>
      </c>
      <c r="L352" s="26">
        <v>6.6411128423323555</v>
      </c>
      <c r="M352" s="30">
        <v>0.71039781213936437</v>
      </c>
      <c r="N352" s="29" t="e">
        <v>#N/A</v>
      </c>
      <c r="O352" s="31" t="e">
        <v>#N/A</v>
      </c>
      <c r="P352" s="31">
        <v>-42421000.00000006</v>
      </c>
      <c r="Q352" s="31">
        <v>205533999.99999994</v>
      </c>
      <c r="R352" s="29">
        <v>2791913472</v>
      </c>
      <c r="S352" s="29" t="e">
        <v>#N/A</v>
      </c>
      <c r="T352" s="29" t="e">
        <v>#N/A</v>
      </c>
      <c r="U352" s="29">
        <v>0.89734156345659122</v>
      </c>
      <c r="V352" s="29" t="e">
        <v>#N/A</v>
      </c>
      <c r="W352">
        <v>4.3834186910670363</v>
      </c>
      <c r="X352" t="s">
        <v>91</v>
      </c>
      <c r="Y352" t="s">
        <v>94</v>
      </c>
      <c r="Z352" t="s">
        <v>212</v>
      </c>
    </row>
    <row r="353" spans="2:26" x14ac:dyDescent="0.25">
      <c r="B353" t="s">
        <v>933</v>
      </c>
      <c r="C353" s="26" t="s">
        <v>934</v>
      </c>
      <c r="D353" s="26" t="e">
        <v>#N/A</v>
      </c>
      <c r="E353" s="26">
        <v>9.6407904466715974E-2</v>
      </c>
      <c r="F353" s="26" t="e">
        <v>#N/A</v>
      </c>
      <c r="G353" s="27">
        <v>9.6031839317702053E-2</v>
      </c>
      <c r="H353" s="28">
        <v>15.263985879500677</v>
      </c>
      <c r="I353" s="28" t="e">
        <v>#N/A</v>
      </c>
      <c r="J353" s="26">
        <v>47.793537928747746</v>
      </c>
      <c r="K353" s="29">
        <v>0.79862364033937405</v>
      </c>
      <c r="L353" s="26">
        <v>9.7485145290823443</v>
      </c>
      <c r="M353" s="30">
        <v>0.16127238724243087</v>
      </c>
      <c r="N353" s="29" t="e">
        <v>#N/A</v>
      </c>
      <c r="O353" s="31" t="e">
        <v>#N/A</v>
      </c>
      <c r="P353" s="31">
        <v>6355899999.999999</v>
      </c>
      <c r="Q353" s="31">
        <v>6380789999.999999</v>
      </c>
      <c r="R353" s="29">
        <v>1241874432</v>
      </c>
      <c r="S353" s="29">
        <v>11.750433522153909</v>
      </c>
      <c r="T353" s="29">
        <v>12.57272268658261</v>
      </c>
      <c r="U353" s="29">
        <v>-60.630042828677865</v>
      </c>
      <c r="V353" s="29">
        <v>7.0592371358258337</v>
      </c>
      <c r="W353">
        <v>1.0370056110922483</v>
      </c>
      <c r="X353" t="s">
        <v>66</v>
      </c>
      <c r="Y353" t="s">
        <v>84</v>
      </c>
      <c r="Z353" t="s">
        <v>246</v>
      </c>
    </row>
    <row r="354" spans="2:26" x14ac:dyDescent="0.25">
      <c r="B354" t="s">
        <v>935</v>
      </c>
      <c r="C354" s="26" t="s">
        <v>936</v>
      </c>
      <c r="D354" s="26">
        <v>0.30725061929644443</v>
      </c>
      <c r="E354" s="26">
        <v>0.15919514911139396</v>
      </c>
      <c r="F354" s="26">
        <v>0.30725061929644443</v>
      </c>
      <c r="G354" s="27">
        <v>0.15919514911139396</v>
      </c>
      <c r="H354" s="28">
        <v>38.444157033652225</v>
      </c>
      <c r="I354" s="28">
        <v>17.844055097193625</v>
      </c>
      <c r="J354" s="26">
        <v>17.998838673876172</v>
      </c>
      <c r="K354" s="29">
        <v>0.628733002980016</v>
      </c>
      <c r="L354" s="26">
        <v>3.3669245293924974</v>
      </c>
      <c r="M354" s="30">
        <v>0.16597150949998157</v>
      </c>
      <c r="N354" s="29" t="e">
        <v>#N/A</v>
      </c>
      <c r="O354" s="31">
        <v>15.105744902293562</v>
      </c>
      <c r="P354" s="31">
        <v>778579000</v>
      </c>
      <c r="Q354" s="31">
        <v>778579000</v>
      </c>
      <c r="R354" s="29">
        <v>976659840</v>
      </c>
      <c r="S354" s="29">
        <v>8.0987112001695536</v>
      </c>
      <c r="T354" s="29">
        <v>12.140406094302838</v>
      </c>
      <c r="U354" s="29">
        <v>21.074686556170878</v>
      </c>
      <c r="V354" s="29">
        <v>12.902187301390686</v>
      </c>
      <c r="W354">
        <v>5.4825202966482784</v>
      </c>
      <c r="X354" t="s">
        <v>76</v>
      </c>
      <c r="Y354" t="s">
        <v>82</v>
      </c>
      <c r="Z354" t="s">
        <v>207</v>
      </c>
    </row>
    <row r="355" spans="2:26" x14ac:dyDescent="0.25">
      <c r="B355" t="s">
        <v>937</v>
      </c>
      <c r="C355" s="26" t="s">
        <v>938</v>
      </c>
      <c r="D355" s="26" t="e">
        <v>#N/A</v>
      </c>
      <c r="E355" s="26">
        <v>0.21471673681583461</v>
      </c>
      <c r="F355" s="26" t="e">
        <v>#N/A</v>
      </c>
      <c r="G355" s="27">
        <v>0.20623149352266054</v>
      </c>
      <c r="H355" s="28">
        <v>14.270569756764006</v>
      </c>
      <c r="I355" s="28" t="e">
        <v>#N/A</v>
      </c>
      <c r="J355" s="26">
        <v>16.932276313507892</v>
      </c>
      <c r="K355" s="29">
        <v>6.1478659539954288E-2</v>
      </c>
      <c r="L355" s="26">
        <v>0.39786697028567802</v>
      </c>
      <c r="M355" s="30">
        <v>0.54484876987211872</v>
      </c>
      <c r="N355" s="29" t="e">
        <v>#N/A</v>
      </c>
      <c r="O355" s="31" t="e">
        <v>#N/A</v>
      </c>
      <c r="P355" s="31">
        <v>829423000</v>
      </c>
      <c r="Q355" s="31">
        <v>863549000</v>
      </c>
      <c r="R355" s="29">
        <v>2278500096</v>
      </c>
      <c r="S355" s="29">
        <v>9.4999486289372275</v>
      </c>
      <c r="T355" s="29">
        <v>14.395921261077563</v>
      </c>
      <c r="U355" s="29">
        <v>-1.9828395039049409</v>
      </c>
      <c r="V355" s="29">
        <v>21.394131207203845</v>
      </c>
      <c r="W355">
        <v>2.5497519371202411</v>
      </c>
      <c r="X355" t="s">
        <v>77</v>
      </c>
      <c r="Y355" t="s">
        <v>245</v>
      </c>
      <c r="Z355" t="s">
        <v>245</v>
      </c>
    </row>
    <row r="356" spans="2:26" x14ac:dyDescent="0.25">
      <c r="B356" t="s">
        <v>939</v>
      </c>
      <c r="C356" s="26" t="s">
        <v>940</v>
      </c>
      <c r="D356" s="26">
        <v>-2.8203901081345046</v>
      </c>
      <c r="E356" s="26">
        <v>-5.7431799737811352E-2</v>
      </c>
      <c r="F356" s="26">
        <v>-2.8203901081345046</v>
      </c>
      <c r="G356" s="27">
        <v>-5.7431799737811352E-2</v>
      </c>
      <c r="H356" s="28">
        <v>-9.606014200194906</v>
      </c>
      <c r="I356" s="28">
        <v>34.683039980104311</v>
      </c>
      <c r="J356" s="26">
        <v>17.604919793841805</v>
      </c>
      <c r="K356" s="29">
        <v>-4.8734617558812018E-2</v>
      </c>
      <c r="L356" s="26">
        <v>-0.65464369158878499</v>
      </c>
      <c r="M356" s="30">
        <v>0.30750532678175413</v>
      </c>
      <c r="N356" s="29" t="e">
        <v>#N/A</v>
      </c>
      <c r="O356" s="31">
        <v>82.850031807288389</v>
      </c>
      <c r="P356" s="31">
        <v>112133000</v>
      </c>
      <c r="Q356" s="31">
        <v>112133000</v>
      </c>
      <c r="R356" s="29">
        <v>923868096</v>
      </c>
      <c r="S356" s="29">
        <v>26.327485280373832</v>
      </c>
      <c r="T356" s="29" t="e">
        <v>#N/A</v>
      </c>
      <c r="U356" s="29">
        <v>3.0333334510990624</v>
      </c>
      <c r="V356" s="29" t="e">
        <v>#N/A</v>
      </c>
      <c r="W356">
        <v>6.531782315426276</v>
      </c>
      <c r="X356" t="s">
        <v>76</v>
      </c>
      <c r="Y356" t="s">
        <v>89</v>
      </c>
      <c r="Z356" t="s">
        <v>941</v>
      </c>
    </row>
    <row r="357" spans="2:26" x14ac:dyDescent="0.25">
      <c r="B357" t="s">
        <v>942</v>
      </c>
      <c r="C357" s="26" t="s">
        <v>943</v>
      </c>
      <c r="D357" s="26">
        <v>0.19198067424943568</v>
      </c>
      <c r="E357" s="26">
        <v>0.18652242210122649</v>
      </c>
      <c r="F357" s="26">
        <v>0.13455647768199847</v>
      </c>
      <c r="G357" s="27">
        <v>0.13546418037395888</v>
      </c>
      <c r="H357" s="28">
        <v>13.907890880098172</v>
      </c>
      <c r="I357" s="28">
        <v>16.004931168749543</v>
      </c>
      <c r="J357" s="26">
        <v>15.243463497453311</v>
      </c>
      <c r="K357" s="29">
        <v>0.38975331524781259</v>
      </c>
      <c r="L357" s="26">
        <v>2.2444192439862545</v>
      </c>
      <c r="M357" s="30">
        <v>0.55858108442349808</v>
      </c>
      <c r="N357" s="29" t="e">
        <v>#N/A</v>
      </c>
      <c r="O357" s="31">
        <v>12.020168386611505</v>
      </c>
      <c r="P357" s="31">
        <v>715544000</v>
      </c>
      <c r="Q357" s="31">
        <v>985242000</v>
      </c>
      <c r="R357" s="29">
        <v>1043254912</v>
      </c>
      <c r="S357" s="29">
        <v>9.5018963024054983</v>
      </c>
      <c r="T357" s="29">
        <v>12.927810514110453</v>
      </c>
      <c r="U357" s="29">
        <v>14.974863593069763</v>
      </c>
      <c r="V357" s="29">
        <v>13.666957231699248</v>
      </c>
      <c r="W357">
        <v>1.734915222459338</v>
      </c>
      <c r="X357" t="s">
        <v>77</v>
      </c>
      <c r="Y357" t="s">
        <v>83</v>
      </c>
      <c r="Z357" t="s">
        <v>194</v>
      </c>
    </row>
    <row r="358" spans="2:26" x14ac:dyDescent="0.25">
      <c r="B358" t="s">
        <v>944</v>
      </c>
      <c r="C358" s="26" t="s">
        <v>945</v>
      </c>
      <c r="D358" s="26" t="e">
        <v>#N/A</v>
      </c>
      <c r="E358" s="26">
        <v>8.3086590658734277E-2</v>
      </c>
      <c r="F358" s="26" t="e">
        <v>#N/A</v>
      </c>
      <c r="G358" s="27">
        <v>8.3086590658734277E-2</v>
      </c>
      <c r="H358" s="28">
        <v>29.489223188955094</v>
      </c>
      <c r="I358" s="28" t="e">
        <v>#N/A</v>
      </c>
      <c r="J358" s="26">
        <v>89.367323543861588</v>
      </c>
      <c r="K358" s="29">
        <v>0.80650111231468302</v>
      </c>
      <c r="L358" s="26">
        <v>7.8495314105029994</v>
      </c>
      <c r="M358" s="30">
        <v>0.17086126426008272</v>
      </c>
      <c r="N358" s="29" t="e">
        <v>#N/A</v>
      </c>
      <c r="O358" s="31" t="e">
        <v>#N/A</v>
      </c>
      <c r="P358" s="31">
        <v>1966286000</v>
      </c>
      <c r="Q358" s="31">
        <v>1966286000</v>
      </c>
      <c r="R358" s="29">
        <v>563917120</v>
      </c>
      <c r="S358" s="29">
        <v>10.2358804705763</v>
      </c>
      <c r="T358" s="29">
        <v>10.250439707905599</v>
      </c>
      <c r="U358" s="29">
        <v>-118.50198837729913</v>
      </c>
      <c r="V358" s="29">
        <v>5.3838861910872025</v>
      </c>
      <c r="W358">
        <v>1.4541383900130347</v>
      </c>
      <c r="X358" t="s">
        <v>66</v>
      </c>
      <c r="Y358" t="s">
        <v>84</v>
      </c>
      <c r="Z358" t="s">
        <v>208</v>
      </c>
    </row>
    <row r="359" spans="2:26" x14ac:dyDescent="0.25">
      <c r="B359" t="s">
        <v>946</v>
      </c>
      <c r="C359" s="26" t="s">
        <v>947</v>
      </c>
      <c r="D359" s="26">
        <v>4.174316828860157E-2</v>
      </c>
      <c r="E359" s="26">
        <v>4.1013645344800155E-2</v>
      </c>
      <c r="F359" s="26">
        <v>4.174316828860157E-2</v>
      </c>
      <c r="G359" s="27">
        <v>4.1013645344800155E-2</v>
      </c>
      <c r="H359" s="28">
        <v>7.1673014372262145</v>
      </c>
      <c r="I359" s="28">
        <v>12.521683557585268</v>
      </c>
      <c r="J359" s="26">
        <v>50.871275997751546</v>
      </c>
      <c r="K359" s="29">
        <v>0.24688994354985722</v>
      </c>
      <c r="L359" s="26">
        <v>6.7472999111296987</v>
      </c>
      <c r="M359" s="30">
        <v>0.5461283037086927</v>
      </c>
      <c r="N359" s="29" t="e">
        <v>#N/A</v>
      </c>
      <c r="O359" s="31" t="e">
        <v>#N/A</v>
      </c>
      <c r="P359" s="31">
        <v>3878319000</v>
      </c>
      <c r="Q359" s="31">
        <v>3878319000</v>
      </c>
      <c r="R359" s="29">
        <v>3074254336</v>
      </c>
      <c r="S359" s="29">
        <v>28.238550556746301</v>
      </c>
      <c r="T359" s="29">
        <v>37.404371678842224</v>
      </c>
      <c r="U359" s="29">
        <v>-12.578041948966451</v>
      </c>
      <c r="V359" s="29">
        <v>25.477441764091608</v>
      </c>
      <c r="W359">
        <v>1.7220585088233575</v>
      </c>
      <c r="X359" t="s">
        <v>69</v>
      </c>
      <c r="Y359" t="s">
        <v>70</v>
      </c>
      <c r="Z359" t="s">
        <v>70</v>
      </c>
    </row>
    <row r="360" spans="2:26" x14ac:dyDescent="0.25">
      <c r="B360" t="s">
        <v>948</v>
      </c>
      <c r="C360" s="26" t="s">
        <v>949</v>
      </c>
      <c r="D360" s="26">
        <v>4.7294947752408918</v>
      </c>
      <c r="E360" s="26">
        <v>1.3563038371182468</v>
      </c>
      <c r="F360" s="26">
        <v>0.87623378674530294</v>
      </c>
      <c r="G360" s="27">
        <v>0.43506656618939976</v>
      </c>
      <c r="H360" s="28" t="e">
        <v>#N/A</v>
      </c>
      <c r="I360" s="28">
        <v>30.341997377881899</v>
      </c>
      <c r="J360" s="26">
        <v>27.317912445039191</v>
      </c>
      <c r="K360" s="29">
        <v>0.77490157480314958</v>
      </c>
      <c r="L360" s="26">
        <v>2.1811885302673502</v>
      </c>
      <c r="M360" s="30">
        <v>-0.12122170673414874</v>
      </c>
      <c r="N360" s="29">
        <v>5.6014547179507448E-2</v>
      </c>
      <c r="O360" s="31">
        <v>14.929154125115684</v>
      </c>
      <c r="P360" s="31">
        <v>383099999.99999976</v>
      </c>
      <c r="Q360" s="31">
        <v>1194299999.9999998</v>
      </c>
      <c r="R360" s="29">
        <v>3664955648</v>
      </c>
      <c r="S360" s="29">
        <v>7.2580075467516281</v>
      </c>
      <c r="T360" s="29">
        <v>9.5040008126247049</v>
      </c>
      <c r="U360" s="29">
        <v>11.107910684325967</v>
      </c>
      <c r="V360" s="29">
        <v>10.630008727237165</v>
      </c>
      <c r="W360" t="e">
        <v>#N/A</v>
      </c>
      <c r="X360" t="s">
        <v>91</v>
      </c>
      <c r="Y360" t="s">
        <v>94</v>
      </c>
      <c r="Z360" t="s">
        <v>133</v>
      </c>
    </row>
    <row r="361" spans="2:26" x14ac:dyDescent="0.25">
      <c r="B361" t="s">
        <v>950</v>
      </c>
      <c r="C361" s="26" t="s">
        <v>951</v>
      </c>
      <c r="D361" s="26">
        <v>0.56898376813960527</v>
      </c>
      <c r="E361" s="26">
        <v>0.87464534433840602</v>
      </c>
      <c r="F361" s="26">
        <v>0.56765721583608841</v>
      </c>
      <c r="G361" s="27">
        <v>0.87344380527174381</v>
      </c>
      <c r="H361" s="28">
        <v>23.649830041237905</v>
      </c>
      <c r="I361" s="28">
        <v>32.23180043613322</v>
      </c>
      <c r="J361" s="26">
        <v>59.706566042542349</v>
      </c>
      <c r="K361" s="29">
        <v>0.27920179876335022</v>
      </c>
      <c r="L361" s="26">
        <v>0.84436889077773059</v>
      </c>
      <c r="M361" s="30">
        <v>0.45444419484069043</v>
      </c>
      <c r="N361" s="29" t="e">
        <v>#N/A</v>
      </c>
      <c r="O361" s="31">
        <v>34.632801618182562</v>
      </c>
      <c r="P361" s="31">
        <v>6978600000</v>
      </c>
      <c r="Q361" s="31">
        <v>6988200000</v>
      </c>
      <c r="R361" s="29">
        <v>1374094848</v>
      </c>
      <c r="S361" s="29">
        <v>1.234252683949568</v>
      </c>
      <c r="T361" s="29">
        <v>2.2317084262295084</v>
      </c>
      <c r="U361" s="29">
        <v>204.31631805375926</v>
      </c>
      <c r="V361" s="29">
        <v>1.0696828666377798</v>
      </c>
      <c r="W361">
        <v>0.28305706929591395</v>
      </c>
      <c r="X361" t="s">
        <v>77</v>
      </c>
      <c r="Y361" t="s">
        <v>102</v>
      </c>
      <c r="Z361" t="s">
        <v>130</v>
      </c>
    </row>
    <row r="362" spans="2:26" x14ac:dyDescent="0.25">
      <c r="B362" t="s">
        <v>952</v>
      </c>
      <c r="C362" s="26" t="s">
        <v>953</v>
      </c>
      <c r="D362" s="26" t="e">
        <v>#N/A</v>
      </c>
      <c r="E362" s="26" t="e">
        <v>#N/A</v>
      </c>
      <c r="F362" s="26" t="e">
        <v>#N/A</v>
      </c>
      <c r="G362" s="27" t="e">
        <v>#N/A</v>
      </c>
      <c r="H362" s="28" t="e">
        <v>#N/A</v>
      </c>
      <c r="I362" s="28" t="e">
        <v>#N/A</v>
      </c>
      <c r="J362" s="26" t="e">
        <v>#N/A</v>
      </c>
      <c r="K362" s="29" t="e">
        <v>#N/A</v>
      </c>
      <c r="L362" s="26" t="e">
        <v>#N/A</v>
      </c>
      <c r="M362" s="30" t="e">
        <v>#N/A</v>
      </c>
      <c r="N362" s="29" t="e">
        <v>#N/A</v>
      </c>
      <c r="O362" s="31" t="e">
        <v>#N/A</v>
      </c>
      <c r="P362" s="31" t="e">
        <v>#N/A</v>
      </c>
      <c r="Q362" s="31" t="e">
        <v>#N/A</v>
      </c>
      <c r="R362" s="29">
        <v>234875040</v>
      </c>
      <c r="S362" s="29" t="e">
        <v>#N/A</v>
      </c>
      <c r="T362" s="29" t="e">
        <v>#N/A</v>
      </c>
      <c r="U362" s="29" t="e">
        <v>#N/A</v>
      </c>
      <c r="V362" s="29" t="e">
        <v>#N/A</v>
      </c>
      <c r="W362" t="e">
        <v>#N/A</v>
      </c>
      <c r="X362" t="s">
        <v>66</v>
      </c>
      <c r="Y362" t="s">
        <v>108</v>
      </c>
      <c r="Z362" t="s">
        <v>108</v>
      </c>
    </row>
    <row r="363" spans="2:26" x14ac:dyDescent="0.25">
      <c r="B363" t="s">
        <v>954</v>
      </c>
      <c r="C363" s="26" t="s">
        <v>955</v>
      </c>
      <c r="D363" s="26" t="e">
        <v>#N/A</v>
      </c>
      <c r="E363" s="26">
        <v>-3.3149565639997568E-2</v>
      </c>
      <c r="F363" s="26" t="e">
        <v>#N/A</v>
      </c>
      <c r="G363" s="27">
        <v>-3.3149565639997568E-2</v>
      </c>
      <c r="H363" s="28">
        <v>-10.678295217416252</v>
      </c>
      <c r="I363" s="28" t="e">
        <v>#N/A</v>
      </c>
      <c r="J363" s="26">
        <v>-118.7322611163671</v>
      </c>
      <c r="K363" s="29">
        <v>0.4626274910804144</v>
      </c>
      <c r="L363" s="26" t="e">
        <v>#N/A</v>
      </c>
      <c r="M363" s="30">
        <v>0.19576296995476172</v>
      </c>
      <c r="N363" s="29" t="e">
        <v>#N/A</v>
      </c>
      <c r="O363" s="31" t="e">
        <v>#N/A</v>
      </c>
      <c r="P363" s="31">
        <v>658440000</v>
      </c>
      <c r="Q363" s="31">
        <v>658440000</v>
      </c>
      <c r="R363" s="29">
        <v>476327488</v>
      </c>
      <c r="S363" s="29" t="e">
        <v>#N/A</v>
      </c>
      <c r="T363" s="29" t="e">
        <v>#N/A</v>
      </c>
      <c r="U363" s="29" t="e">
        <v>#N/A</v>
      </c>
      <c r="V363" s="29" t="e">
        <v>#N/A</v>
      </c>
      <c r="W363">
        <v>2.932843182532582</v>
      </c>
      <c r="X363" t="s">
        <v>69</v>
      </c>
      <c r="Y363" t="s">
        <v>70</v>
      </c>
      <c r="Z363" t="s">
        <v>70</v>
      </c>
    </row>
    <row r="364" spans="2:26" x14ac:dyDescent="0.25">
      <c r="B364" t="s">
        <v>956</v>
      </c>
      <c r="C364" s="26" t="s">
        <v>957</v>
      </c>
      <c r="D364" s="26" t="e">
        <v>#N/A</v>
      </c>
      <c r="E364" s="26">
        <v>0.13384252499157587</v>
      </c>
      <c r="F364" s="26" t="e">
        <v>#N/A</v>
      </c>
      <c r="G364" s="27">
        <v>0.13384252499157587</v>
      </c>
      <c r="H364" s="28" t="e">
        <v>#N/A</v>
      </c>
      <c r="I364" s="28">
        <v>53.422580079382747</v>
      </c>
      <c r="J364" s="26">
        <v>66.257173765562243</v>
      </c>
      <c r="K364" s="29" t="e">
        <v>#N/A</v>
      </c>
      <c r="L364" s="26" t="e">
        <v>#N/A</v>
      </c>
      <c r="M364" s="30">
        <v>0.15881730930792837</v>
      </c>
      <c r="N364" s="29" t="e">
        <v>#N/A</v>
      </c>
      <c r="O364" s="31" t="e">
        <v>#N/A</v>
      </c>
      <c r="P364" s="31">
        <v>267090000.00000003</v>
      </c>
      <c r="Q364" s="31">
        <v>267090000.00000003</v>
      </c>
      <c r="R364" s="29">
        <v>271554848</v>
      </c>
      <c r="S364" s="29" t="e">
        <v>#N/A</v>
      </c>
      <c r="T364" s="29" t="e">
        <v>#N/A</v>
      </c>
      <c r="U364" s="29" t="e">
        <v>#N/A</v>
      </c>
      <c r="V364" s="29" t="e">
        <v>#N/A</v>
      </c>
      <c r="W364">
        <v>2.2070439862542957</v>
      </c>
      <c r="X364" t="s">
        <v>66</v>
      </c>
      <c r="Y364" t="s">
        <v>84</v>
      </c>
      <c r="Z364" t="s">
        <v>165</v>
      </c>
    </row>
    <row r="365" spans="2:26" x14ac:dyDescent="0.25">
      <c r="B365" t="s">
        <v>958</v>
      </c>
      <c r="C365" s="26" t="s">
        <v>959</v>
      </c>
      <c r="D365" s="26" t="e">
        <v>#N/A</v>
      </c>
      <c r="E365" s="26" t="e">
        <v>#N/A</v>
      </c>
      <c r="F365" s="26" t="e">
        <v>#N/A</v>
      </c>
      <c r="G365" s="27" t="e">
        <v>#N/A</v>
      </c>
      <c r="H365" s="28" t="e">
        <v>#N/A</v>
      </c>
      <c r="I365" s="28" t="e">
        <v>#N/A</v>
      </c>
      <c r="J365" s="26" t="e">
        <v>#N/A</v>
      </c>
      <c r="K365" s="29" t="e">
        <v>#N/A</v>
      </c>
      <c r="L365" s="26" t="e">
        <v>#N/A</v>
      </c>
      <c r="M365" s="30" t="e">
        <v>#N/A</v>
      </c>
      <c r="N365" s="29" t="e">
        <v>#N/A</v>
      </c>
      <c r="O365" s="31" t="e">
        <v>#N/A</v>
      </c>
      <c r="P365" s="31" t="e">
        <v>#N/A</v>
      </c>
      <c r="Q365" s="31" t="e">
        <v>#N/A</v>
      </c>
      <c r="R365" s="29">
        <v>202599744</v>
      </c>
      <c r="S365" s="29" t="e">
        <v>#N/A</v>
      </c>
      <c r="T365" s="29" t="e">
        <v>#N/A</v>
      </c>
      <c r="U365" s="29" t="e">
        <v>#N/A</v>
      </c>
      <c r="V365" s="29" t="e">
        <v>#N/A</v>
      </c>
      <c r="W365" t="e">
        <v>#N/A</v>
      </c>
      <c r="X365" t="s">
        <v>66</v>
      </c>
      <c r="Y365" t="s">
        <v>108</v>
      </c>
      <c r="Z365" t="s">
        <v>108</v>
      </c>
    </row>
    <row r="366" spans="2:26" x14ac:dyDescent="0.25">
      <c r="B366" t="s">
        <v>960</v>
      </c>
      <c r="C366" s="26" t="s">
        <v>961</v>
      </c>
      <c r="D366" s="26">
        <v>0.1057934561185</v>
      </c>
      <c r="E366" s="26">
        <v>6.0993212189956493E-2</v>
      </c>
      <c r="F366" s="26">
        <v>8.9866853715384817E-2</v>
      </c>
      <c r="G366" s="27">
        <v>5.6113887100034315E-2</v>
      </c>
      <c r="H366" s="28">
        <v>10.729814398191062</v>
      </c>
      <c r="I366" s="28">
        <v>7.6811920753023868</v>
      </c>
      <c r="J366" s="26">
        <v>5.9034319548965319</v>
      </c>
      <c r="K366" s="29">
        <v>0.5033083678652851</v>
      </c>
      <c r="L366" s="26">
        <v>4.9482182466268254</v>
      </c>
      <c r="M366" s="30">
        <v>0.29885529731985566</v>
      </c>
      <c r="N366" s="29" t="e">
        <v>#N/A</v>
      </c>
      <c r="O366" s="31">
        <v>41.489461707700016</v>
      </c>
      <c r="P366" s="31">
        <v>782874000</v>
      </c>
      <c r="Q366" s="31">
        <v>850948000</v>
      </c>
      <c r="R366" s="29">
        <v>301882336</v>
      </c>
      <c r="S366" s="29">
        <v>7.8695705775806122</v>
      </c>
      <c r="T366" s="29">
        <v>16.332214368994492</v>
      </c>
      <c r="U366" s="29">
        <v>-4.0731101272516987</v>
      </c>
      <c r="V366" s="29">
        <v>10.49266688518872</v>
      </c>
      <c r="W366">
        <v>0.92398709611126795</v>
      </c>
      <c r="X366" t="s">
        <v>73</v>
      </c>
      <c r="Y366" t="s">
        <v>127</v>
      </c>
      <c r="Z366" t="s">
        <v>128</v>
      </c>
    </row>
    <row r="367" spans="2:26" x14ac:dyDescent="0.25">
      <c r="B367" t="s">
        <v>962</v>
      </c>
      <c r="C367" s="26" t="s">
        <v>963</v>
      </c>
      <c r="D367" s="26">
        <v>0.14175181844648299</v>
      </c>
      <c r="E367" s="26">
        <v>0.11909815677950648</v>
      </c>
      <c r="F367" s="26">
        <v>0.13527509713373756</v>
      </c>
      <c r="G367" s="27">
        <v>0.1138366690404219</v>
      </c>
      <c r="H367" s="28">
        <v>8.7084628590748991</v>
      </c>
      <c r="I367" s="28">
        <v>5.8519695880713991</v>
      </c>
      <c r="J367" s="26">
        <v>5.908054005964912</v>
      </c>
      <c r="K367" s="29">
        <v>0.27869778296147374</v>
      </c>
      <c r="L367" s="26">
        <v>3.0045881783735888</v>
      </c>
      <c r="M367" s="30">
        <v>0.40217568755958699</v>
      </c>
      <c r="N367" s="29" t="e">
        <v>#N/A</v>
      </c>
      <c r="O367" s="31">
        <v>2.6658106141589082</v>
      </c>
      <c r="P367" s="31">
        <v>959679000</v>
      </c>
      <c r="Q367" s="31">
        <v>1004035000</v>
      </c>
      <c r="R367" s="29">
        <v>904327296</v>
      </c>
      <c r="S367" s="29">
        <v>7.996103831998739</v>
      </c>
      <c r="T367" s="29">
        <v>12.431783226417167</v>
      </c>
      <c r="U367" s="29">
        <v>7.9417043273677761</v>
      </c>
      <c r="V367" s="29">
        <v>13.959875760888893</v>
      </c>
      <c r="W367">
        <v>1.1339444399115208</v>
      </c>
      <c r="X367" t="s">
        <v>76</v>
      </c>
      <c r="Y367" t="s">
        <v>95</v>
      </c>
      <c r="Z367" t="s">
        <v>95</v>
      </c>
    </row>
    <row r="368" spans="2:26" x14ac:dyDescent="0.25">
      <c r="B368" t="s">
        <v>964</v>
      </c>
      <c r="C368" s="26" t="s">
        <v>965</v>
      </c>
      <c r="D368" s="26" t="e">
        <v>#N/A</v>
      </c>
      <c r="E368" s="26">
        <v>0.29329447458098618</v>
      </c>
      <c r="F368" s="26" t="e">
        <v>#N/A</v>
      </c>
      <c r="G368" s="27">
        <v>0.28859050356266092</v>
      </c>
      <c r="H368" s="28">
        <v>18.590235413476147</v>
      </c>
      <c r="I368" s="28">
        <v>20.706058690976924</v>
      </c>
      <c r="J368" s="26">
        <v>24.23478883633047</v>
      </c>
      <c r="K368" s="29">
        <v>-4.1641848622791439E-2</v>
      </c>
      <c r="L368" s="26">
        <v>-0.18358489196886954</v>
      </c>
      <c r="M368" s="30">
        <v>0.52681111706607453</v>
      </c>
      <c r="N368" s="29" t="e">
        <v>#N/A</v>
      </c>
      <c r="O368" s="31" t="e">
        <v>#N/A</v>
      </c>
      <c r="P368" s="31">
        <v>460128000</v>
      </c>
      <c r="Q368" s="31">
        <v>467628000</v>
      </c>
      <c r="R368" s="29">
        <v>1091250048</v>
      </c>
      <c r="S368" s="29">
        <v>4.765574478892658</v>
      </c>
      <c r="T368" s="29">
        <v>8.0687649105024306</v>
      </c>
      <c r="U368" s="29">
        <v>9.3419468972156228</v>
      </c>
      <c r="V368" s="29">
        <v>13.336018152291798</v>
      </c>
      <c r="W368">
        <v>2.1272122328994612</v>
      </c>
      <c r="X368" t="s">
        <v>76</v>
      </c>
      <c r="Y368" t="s">
        <v>167</v>
      </c>
      <c r="Z368" t="s">
        <v>183</v>
      </c>
    </row>
    <row r="369" spans="2:26" x14ac:dyDescent="0.25">
      <c r="B369" t="s">
        <v>966</v>
      </c>
      <c r="C369" s="26" t="s">
        <v>967</v>
      </c>
      <c r="D369" s="26" t="e">
        <v>#N/A</v>
      </c>
      <c r="E369" s="26">
        <v>-2.7265174103086365E-2</v>
      </c>
      <c r="F369" s="26" t="e">
        <v>#N/A</v>
      </c>
      <c r="G369" s="27">
        <v>-2.7265174103086365E-2</v>
      </c>
      <c r="H369" s="28">
        <v>-19.336540730964455</v>
      </c>
      <c r="I369" s="28">
        <v>-4.7596080336829516</v>
      </c>
      <c r="J369" s="26">
        <v>-4.4099851118081199</v>
      </c>
      <c r="K369" s="29">
        <v>0.1629967314639601</v>
      </c>
      <c r="L369" s="26">
        <v>-1.689880435138021</v>
      </c>
      <c r="M369" s="30">
        <v>0.73078530879064163</v>
      </c>
      <c r="N369" s="29" t="e">
        <v>#N/A</v>
      </c>
      <c r="O369" s="31" t="e">
        <v>#N/A</v>
      </c>
      <c r="P369" s="31">
        <v>719746000</v>
      </c>
      <c r="Q369" s="31">
        <v>719746000</v>
      </c>
      <c r="R369" s="29">
        <v>6742607872</v>
      </c>
      <c r="S369" s="29" t="e">
        <v>#N/A</v>
      </c>
      <c r="T369" s="29" t="e">
        <v>#N/A</v>
      </c>
      <c r="U369" s="29">
        <v>0.90079883757672863</v>
      </c>
      <c r="V369" s="29" t="e">
        <v>#N/A</v>
      </c>
      <c r="W369">
        <v>6.9205129347358803</v>
      </c>
      <c r="X369" t="s">
        <v>91</v>
      </c>
      <c r="Y369" t="s">
        <v>94</v>
      </c>
      <c r="Z369" t="s">
        <v>212</v>
      </c>
    </row>
    <row r="370" spans="2:26" x14ac:dyDescent="0.25">
      <c r="B370" t="s">
        <v>968</v>
      </c>
      <c r="C370" s="26" t="s">
        <v>969</v>
      </c>
      <c r="D370" s="26" t="e">
        <v>#N/A</v>
      </c>
      <c r="E370" s="26" t="e">
        <v>#N/A</v>
      </c>
      <c r="F370" s="26" t="e">
        <v>#N/A</v>
      </c>
      <c r="G370" s="27" t="e">
        <v>#N/A</v>
      </c>
      <c r="H370" s="28" t="e">
        <v>#N/A</v>
      </c>
      <c r="I370" s="28" t="e">
        <v>#N/A</v>
      </c>
      <c r="J370" s="26" t="e">
        <v>#N/A</v>
      </c>
      <c r="K370" s="29" t="e">
        <v>#N/A</v>
      </c>
      <c r="L370" s="26" t="e">
        <v>#N/A</v>
      </c>
      <c r="M370" s="30" t="e">
        <v>#N/A</v>
      </c>
      <c r="N370" s="29" t="e">
        <v>#N/A</v>
      </c>
      <c r="O370" s="31" t="e">
        <v>#N/A</v>
      </c>
      <c r="P370" s="31" t="e">
        <v>#N/A</v>
      </c>
      <c r="Q370" s="31" t="e">
        <v>#N/A</v>
      </c>
      <c r="R370" s="29">
        <v>286057888</v>
      </c>
      <c r="S370" s="29" t="e">
        <v>#N/A</v>
      </c>
      <c r="T370" s="29" t="e">
        <v>#N/A</v>
      </c>
      <c r="U370" s="29" t="e">
        <v>#N/A</v>
      </c>
      <c r="V370" s="29" t="e">
        <v>#N/A</v>
      </c>
      <c r="W370" t="e">
        <v>#N/A</v>
      </c>
      <c r="X370" t="s">
        <v>66</v>
      </c>
      <c r="Y370" t="s">
        <v>108</v>
      </c>
      <c r="Z370" t="s">
        <v>108</v>
      </c>
    </row>
    <row r="371" spans="2:26" x14ac:dyDescent="0.25">
      <c r="B371" t="s">
        <v>970</v>
      </c>
      <c r="C371" s="26" t="s">
        <v>971</v>
      </c>
      <c r="D371" s="26">
        <v>1.409372897915333</v>
      </c>
      <c r="E371" s="26">
        <v>-21.882015096816538</v>
      </c>
      <c r="F371" s="26">
        <v>1.409372897915333</v>
      </c>
      <c r="G371" s="27">
        <v>-21.882015096816538</v>
      </c>
      <c r="H371" s="28">
        <v>-69.567646130849255</v>
      </c>
      <c r="I371" s="28">
        <v>-19607.276271822157</v>
      </c>
      <c r="J371" s="26">
        <v>-2088.8981081978095</v>
      </c>
      <c r="K371" s="29">
        <v>-0.48186359086313313</v>
      </c>
      <c r="L371" s="26">
        <v>0.70670601254149756</v>
      </c>
      <c r="M371" s="30">
        <v>0.68775999879275052</v>
      </c>
      <c r="N371" s="29" t="e">
        <v>#N/A</v>
      </c>
      <c r="O371" s="31" t="e">
        <v>#N/A</v>
      </c>
      <c r="P371" s="31">
        <v>6094000</v>
      </c>
      <c r="Q371" s="31">
        <v>6094000</v>
      </c>
      <c r="R371" s="29">
        <v>369485760</v>
      </c>
      <c r="S371" s="29" t="e">
        <v>#N/A</v>
      </c>
      <c r="T371" s="29" t="e">
        <v>#N/A</v>
      </c>
      <c r="U371" s="29">
        <v>-35.51990745191371</v>
      </c>
      <c r="V371" s="29" t="e">
        <v>#N/A</v>
      </c>
      <c r="W371">
        <v>2.2667835868817923</v>
      </c>
      <c r="X371" t="s">
        <v>76</v>
      </c>
      <c r="Y371" t="s">
        <v>162</v>
      </c>
      <c r="Z371" t="s">
        <v>163</v>
      </c>
    </row>
    <row r="372" spans="2:26" x14ac:dyDescent="0.25">
      <c r="B372" t="s">
        <v>972</v>
      </c>
      <c r="C372" s="26" t="s">
        <v>973</v>
      </c>
      <c r="D372" s="26" t="e">
        <v>#N/A</v>
      </c>
      <c r="E372" s="26">
        <v>-16.150000000000023</v>
      </c>
      <c r="F372" s="26" t="e">
        <v>#N/A</v>
      </c>
      <c r="G372" s="27">
        <v>-4.7990386191074474</v>
      </c>
      <c r="H372" s="28">
        <v>-237.65004472737107</v>
      </c>
      <c r="I372" s="28" t="e">
        <v>#N/A</v>
      </c>
      <c r="J372" s="26">
        <v>-39.988821842946884</v>
      </c>
      <c r="K372" s="29">
        <v>0.31057818490595168</v>
      </c>
      <c r="L372" s="26">
        <v>-1.5956931122111961</v>
      </c>
      <c r="M372" s="30">
        <v>2.4060639313946636E-3</v>
      </c>
      <c r="N372" s="29" t="e">
        <v>#N/A</v>
      </c>
      <c r="O372" s="31" t="e">
        <v>#N/A</v>
      </c>
      <c r="P372" s="31">
        <v>5439999.9999999925</v>
      </c>
      <c r="Q372" s="31">
        <v>18306999.999999993</v>
      </c>
      <c r="R372" s="29">
        <v>524721280</v>
      </c>
      <c r="S372" s="29" t="e">
        <v>#N/A</v>
      </c>
      <c r="T372" s="29" t="e">
        <v>#N/A</v>
      </c>
      <c r="U372" s="29">
        <v>-9.519406871159104</v>
      </c>
      <c r="V372" s="29" t="e">
        <v>#N/A</v>
      </c>
      <c r="W372">
        <v>9.2191780821917817</v>
      </c>
      <c r="X372" t="s">
        <v>71</v>
      </c>
      <c r="Y372" t="s">
        <v>101</v>
      </c>
      <c r="Z372" t="s">
        <v>115</v>
      </c>
    </row>
    <row r="373" spans="2:26" x14ac:dyDescent="0.25">
      <c r="B373" t="s">
        <v>974</v>
      </c>
      <c r="C373" s="26" t="s">
        <v>975</v>
      </c>
      <c r="D373" s="26" t="e">
        <v>#N/A</v>
      </c>
      <c r="E373" s="26">
        <v>-0.35473502422221759</v>
      </c>
      <c r="F373" s="26" t="e">
        <v>#N/A</v>
      </c>
      <c r="G373" s="27">
        <v>-0.31741299030446163</v>
      </c>
      <c r="H373" s="28">
        <v>-24.087594730498935</v>
      </c>
      <c r="I373" s="28">
        <v>-3.2656063029268152</v>
      </c>
      <c r="J373" s="26">
        <v>-13.379900180965226</v>
      </c>
      <c r="K373" s="29">
        <v>1.4074592935347199E-2</v>
      </c>
      <c r="L373" s="26">
        <v>-0.29070381754851476</v>
      </c>
      <c r="M373" s="30">
        <v>0.38176498896213512</v>
      </c>
      <c r="N373" s="29" t="e">
        <v>#N/A</v>
      </c>
      <c r="O373" s="31" t="e">
        <v>#N/A</v>
      </c>
      <c r="P373" s="31">
        <v>305137894.60000002</v>
      </c>
      <c r="Q373" s="31">
        <v>341016599</v>
      </c>
      <c r="R373" s="29">
        <v>2829501440</v>
      </c>
      <c r="S373" s="29" t="e">
        <v>#N/A</v>
      </c>
      <c r="T373" s="29" t="e">
        <v>#N/A</v>
      </c>
      <c r="U373" s="29">
        <v>-3.421706550479414</v>
      </c>
      <c r="V373" s="29" t="e">
        <v>#N/A</v>
      </c>
      <c r="W373">
        <v>7.5395443884812057</v>
      </c>
      <c r="X373" t="s">
        <v>66</v>
      </c>
      <c r="Y373" t="s">
        <v>84</v>
      </c>
      <c r="Z373" t="s">
        <v>237</v>
      </c>
    </row>
    <row r="374" spans="2:26" x14ac:dyDescent="0.25">
      <c r="B374" t="s">
        <v>976</v>
      </c>
      <c r="C374" s="26" t="s">
        <v>977</v>
      </c>
      <c r="D374" s="26" t="e">
        <v>#N/A</v>
      </c>
      <c r="E374" s="26">
        <v>0.14516741483212398</v>
      </c>
      <c r="F374" s="26" t="e">
        <v>#N/A</v>
      </c>
      <c r="G374" s="27">
        <v>0.14476604114621941</v>
      </c>
      <c r="H374" s="28">
        <v>15.882461831821388</v>
      </c>
      <c r="I374" s="28">
        <v>20.404088948748658</v>
      </c>
      <c r="J374" s="26">
        <v>22.090068542941832</v>
      </c>
      <c r="K374" s="29">
        <v>0.2603610809996813</v>
      </c>
      <c r="L374" s="26">
        <v>1.7420064348426731</v>
      </c>
      <c r="M374" s="30">
        <v>0.36753162996851341</v>
      </c>
      <c r="N374" s="29" t="e">
        <v>#N/A</v>
      </c>
      <c r="O374" s="31" t="e">
        <v>#N/A</v>
      </c>
      <c r="P374" s="31">
        <v>1300960000</v>
      </c>
      <c r="Q374" s="31">
        <v>1304567000</v>
      </c>
      <c r="R374" s="29">
        <v>3708790016</v>
      </c>
      <c r="S374" s="29">
        <v>11.372950850578174</v>
      </c>
      <c r="T374" s="29">
        <v>20.654205550708575</v>
      </c>
      <c r="U374" s="29">
        <v>2.7306479893198672</v>
      </c>
      <c r="V374" s="29">
        <v>25.126159630769067</v>
      </c>
      <c r="W374">
        <v>3.8834600304127656</v>
      </c>
      <c r="X374" t="s">
        <v>76</v>
      </c>
      <c r="Y374" t="s">
        <v>82</v>
      </c>
      <c r="Z374" t="s">
        <v>171</v>
      </c>
    </row>
    <row r="375" spans="2:26" x14ac:dyDescent="0.25">
      <c r="B375" t="s">
        <v>978</v>
      </c>
      <c r="C375" s="26" t="s">
        <v>979</v>
      </c>
      <c r="D375" s="26" t="e">
        <v>#N/A</v>
      </c>
      <c r="E375" s="26">
        <v>-19.181895093062607</v>
      </c>
      <c r="F375" s="26" t="e">
        <v>#N/A</v>
      </c>
      <c r="G375" s="27">
        <v>-19.181895093062607</v>
      </c>
      <c r="H375" s="28" t="e">
        <v>#N/A</v>
      </c>
      <c r="I375" s="28" t="e">
        <v>#N/A</v>
      </c>
      <c r="J375" s="26">
        <v>-1401.3307984790874</v>
      </c>
      <c r="K375" s="29" t="e">
        <v>#N/A</v>
      </c>
      <c r="L375" s="26" t="e">
        <v>#N/A</v>
      </c>
      <c r="M375" s="30">
        <v>0.77170309472837317</v>
      </c>
      <c r="N375" s="29" t="e">
        <v>#N/A</v>
      </c>
      <c r="O375" s="31" t="e">
        <v>#N/A</v>
      </c>
      <c r="P375" s="31">
        <v>1182000</v>
      </c>
      <c r="Q375" s="31">
        <v>1182000</v>
      </c>
      <c r="R375" s="29">
        <v>380456384</v>
      </c>
      <c r="S375" s="29" t="e">
        <v>#N/A</v>
      </c>
      <c r="T375" s="29" t="e">
        <v>#N/A</v>
      </c>
      <c r="U375" s="29" t="e">
        <v>#N/A</v>
      </c>
      <c r="V375" s="29" t="e">
        <v>#N/A</v>
      </c>
      <c r="W375">
        <v>2.2454570483591678</v>
      </c>
      <c r="X375" t="s">
        <v>73</v>
      </c>
      <c r="Y375" t="s">
        <v>203</v>
      </c>
      <c r="Z375" t="s">
        <v>980</v>
      </c>
    </row>
    <row r="376" spans="2:26" x14ac:dyDescent="0.25">
      <c r="B376" t="s">
        <v>981</v>
      </c>
      <c r="C376" s="26" t="s">
        <v>982</v>
      </c>
      <c r="D376" s="26" t="e">
        <v>#N/A</v>
      </c>
      <c r="E376" s="26">
        <v>-7.3251991888611432</v>
      </c>
      <c r="F376" s="26" t="e">
        <v>#N/A</v>
      </c>
      <c r="G376" s="27">
        <v>-7.3251991888611432</v>
      </c>
      <c r="H376" s="28">
        <v>-45.808275612124348</v>
      </c>
      <c r="I376" s="28" t="e">
        <v>#N/A</v>
      </c>
      <c r="J376" s="26">
        <v>-45.520628683693523</v>
      </c>
      <c r="K376" s="29">
        <v>-0.56896344829241352</v>
      </c>
      <c r="L376" s="26">
        <v>1.8549084338186899</v>
      </c>
      <c r="M376" s="30">
        <v>0.64912280701754388</v>
      </c>
      <c r="N376" s="29" t="e">
        <v>#N/A</v>
      </c>
      <c r="O376" s="31" t="e">
        <v>#N/A</v>
      </c>
      <c r="P376" s="31">
        <v>7945676.1999999434</v>
      </c>
      <c r="Q376" s="31">
        <v>7945676.1999999434</v>
      </c>
      <c r="R376" s="29">
        <v>363436064</v>
      </c>
      <c r="S376" s="29" t="e">
        <v>#N/A</v>
      </c>
      <c r="T376" s="29" t="e">
        <v>#N/A</v>
      </c>
      <c r="U376" s="29" t="e">
        <v>#N/A</v>
      </c>
      <c r="V376" s="29" t="e">
        <v>#N/A</v>
      </c>
      <c r="W376">
        <v>3.6213997991099736</v>
      </c>
      <c r="X376" t="s">
        <v>73</v>
      </c>
      <c r="Y376" t="s">
        <v>203</v>
      </c>
      <c r="Z376" t="s">
        <v>204</v>
      </c>
    </row>
    <row r="377" spans="2:26" x14ac:dyDescent="0.25">
      <c r="B377" t="s">
        <v>983</v>
      </c>
      <c r="C377" s="26" t="s">
        <v>984</v>
      </c>
      <c r="D377" s="26" t="e">
        <v>#N/A</v>
      </c>
      <c r="E377" s="26">
        <v>3.1167640883037233</v>
      </c>
      <c r="F377" s="26" t="e">
        <v>#N/A</v>
      </c>
      <c r="G377" s="27">
        <v>3.2534877521400376</v>
      </c>
      <c r="H377" s="28">
        <v>-34.320394824596505</v>
      </c>
      <c r="I377" s="28" t="e">
        <v>#N/A</v>
      </c>
      <c r="J377" s="26">
        <v>-41.616531840036572</v>
      </c>
      <c r="K377" s="29">
        <v>-0.66711364020508213</v>
      </c>
      <c r="L377" s="26">
        <v>2.9031609505408831</v>
      </c>
      <c r="M377" s="30">
        <v>0.58906214201964935</v>
      </c>
      <c r="N377" s="29" t="e">
        <v>#N/A</v>
      </c>
      <c r="O377" s="31" t="e">
        <v>#N/A</v>
      </c>
      <c r="P377" s="31">
        <v>-35242000.00000006</v>
      </c>
      <c r="Q377" s="31">
        <v>-33761000.00000006</v>
      </c>
      <c r="R377" s="29">
        <v>878054848</v>
      </c>
      <c r="S377" s="29" t="e">
        <v>#N/A</v>
      </c>
      <c r="T377" s="29" t="e">
        <v>#N/A</v>
      </c>
      <c r="U377" s="29">
        <v>-5.6573914617233569</v>
      </c>
      <c r="V377" s="29" t="e">
        <v>#N/A</v>
      </c>
      <c r="W377">
        <v>3.3081205483251632</v>
      </c>
      <c r="X377" t="s">
        <v>91</v>
      </c>
      <c r="Y377" t="s">
        <v>94</v>
      </c>
      <c r="Z377" t="s">
        <v>212</v>
      </c>
    </row>
    <row r="378" spans="2:26" x14ac:dyDescent="0.25">
      <c r="B378" t="s">
        <v>985</v>
      </c>
      <c r="C378" s="26" t="s">
        <v>986</v>
      </c>
      <c r="D378" s="26" t="e">
        <v>#N/A</v>
      </c>
      <c r="E378" s="26">
        <v>1.1836132458168851</v>
      </c>
      <c r="F378" s="26" t="e">
        <v>#N/A</v>
      </c>
      <c r="G378" s="27">
        <v>1.1836132458168851</v>
      </c>
      <c r="H378" s="28">
        <v>-6.780675514895627</v>
      </c>
      <c r="I378" s="28" t="e">
        <v>#N/A</v>
      </c>
      <c r="J378" s="26">
        <v>-27.637762051831395</v>
      </c>
      <c r="K378" s="29">
        <v>-0.80645017083933035</v>
      </c>
      <c r="L378" s="26">
        <v>14.585345360579591</v>
      </c>
      <c r="M378" s="30">
        <v>0.63221596756068787</v>
      </c>
      <c r="N378" s="29" t="e">
        <v>#N/A</v>
      </c>
      <c r="O378" s="31" t="e">
        <v>#N/A</v>
      </c>
      <c r="P378" s="31">
        <v>-128433000</v>
      </c>
      <c r="Q378" s="31">
        <v>-128433000</v>
      </c>
      <c r="R378" s="29">
        <v>8385633792</v>
      </c>
      <c r="S378" s="29" t="e">
        <v>#N/A</v>
      </c>
      <c r="T378" s="29" t="e">
        <v>#N/A</v>
      </c>
      <c r="U378" s="29">
        <v>1.5292582907965844</v>
      </c>
      <c r="V378" s="29" t="e">
        <v>#N/A</v>
      </c>
      <c r="W378">
        <v>11.741184531899908</v>
      </c>
      <c r="X378" t="s">
        <v>91</v>
      </c>
      <c r="Y378" t="s">
        <v>94</v>
      </c>
      <c r="Z378" t="s">
        <v>212</v>
      </c>
    </row>
    <row r="379" spans="2:26" x14ac:dyDescent="0.25">
      <c r="B379" t="s">
        <v>987</v>
      </c>
      <c r="C379" s="26" t="s">
        <v>988</v>
      </c>
      <c r="D379" s="26" t="e">
        <v>#N/A</v>
      </c>
      <c r="E379" s="26">
        <v>0.68375002339752677</v>
      </c>
      <c r="F379" s="26" t="e">
        <v>#N/A</v>
      </c>
      <c r="G379" s="27">
        <v>0.25314604456378148</v>
      </c>
      <c r="H379" s="28">
        <v>18.653890542851752</v>
      </c>
      <c r="I379" s="28">
        <v>22.426677743293833</v>
      </c>
      <c r="J379" s="26">
        <v>28.388272208913929</v>
      </c>
      <c r="K379" s="29">
        <v>0.10001687501097298</v>
      </c>
      <c r="L379" s="26">
        <v>0.45862929149431403</v>
      </c>
      <c r="M379" s="30">
        <v>0.51103117271580922</v>
      </c>
      <c r="N379" s="29" t="e">
        <v>#N/A</v>
      </c>
      <c r="O379" s="31" t="e">
        <v>#N/A</v>
      </c>
      <c r="P379" s="31">
        <v>134122873.50000003</v>
      </c>
      <c r="Q379" s="31">
        <v>362267236.10000002</v>
      </c>
      <c r="R379" s="29">
        <v>871738368</v>
      </c>
      <c r="S379" s="29">
        <v>8.0148704045462029</v>
      </c>
      <c r="T379" s="29">
        <v>10.365626613899492</v>
      </c>
      <c r="U379" s="29">
        <v>9.8932527598752724</v>
      </c>
      <c r="V379" s="29">
        <v>14.185000736066659</v>
      </c>
      <c r="W379">
        <v>2.3030541990591398</v>
      </c>
      <c r="X379" t="s">
        <v>65</v>
      </c>
      <c r="Y379" t="s">
        <v>79</v>
      </c>
      <c r="Z379" t="s">
        <v>80</v>
      </c>
    </row>
    <row r="380" spans="2:26" x14ac:dyDescent="0.25">
      <c r="B380" t="s">
        <v>989</v>
      </c>
      <c r="C380" s="26" t="s">
        <v>990</v>
      </c>
      <c r="D380" s="26" t="e">
        <v>#N/A</v>
      </c>
      <c r="E380" s="26">
        <v>-1.0134152877531933E-2</v>
      </c>
      <c r="F380" s="26" t="e">
        <v>#N/A</v>
      </c>
      <c r="G380" s="27">
        <v>-1.0134152877531933E-2</v>
      </c>
      <c r="H380" s="28">
        <v>16.08707574830721</v>
      </c>
      <c r="I380" s="28" t="e">
        <v>#N/A</v>
      </c>
      <c r="J380" s="26" t="e">
        <v>#N/A</v>
      </c>
      <c r="K380" s="29">
        <v>0.74340692998576519</v>
      </c>
      <c r="L380" s="26">
        <v>-99.061864109460899</v>
      </c>
      <c r="M380" s="30">
        <v>0.24235379401011362</v>
      </c>
      <c r="N380" s="29" t="e">
        <v>#N/A</v>
      </c>
      <c r="O380" s="31" t="e">
        <v>#N/A</v>
      </c>
      <c r="P380" s="31">
        <v>856411000</v>
      </c>
      <c r="Q380" s="31">
        <v>856411000</v>
      </c>
      <c r="R380" s="29">
        <v>293045184</v>
      </c>
      <c r="S380" s="29" t="e">
        <v>#N/A</v>
      </c>
      <c r="T380" s="29" t="e">
        <v>#N/A</v>
      </c>
      <c r="U380" s="29">
        <v>-123.26529140298037</v>
      </c>
      <c r="V380" s="29">
        <v>7.4710655394979524</v>
      </c>
      <c r="W380">
        <v>1.0611773066184804</v>
      </c>
      <c r="X380" t="s">
        <v>66</v>
      </c>
      <c r="Y380" t="s">
        <v>78</v>
      </c>
      <c r="Z380" t="s">
        <v>123</v>
      </c>
    </row>
    <row r="381" spans="2:26" x14ac:dyDescent="0.25">
      <c r="B381" t="s">
        <v>991</v>
      </c>
      <c r="C381" s="26" t="s">
        <v>992</v>
      </c>
      <c r="D381" s="26" t="e">
        <v>#N/A</v>
      </c>
      <c r="E381" s="26">
        <v>7.3635372465700288E-2</v>
      </c>
      <c r="F381" s="26" t="e">
        <v>#N/A</v>
      </c>
      <c r="G381" s="27">
        <v>7.3635372465700288E-2</v>
      </c>
      <c r="H381" s="28">
        <v>14.198877651045702</v>
      </c>
      <c r="I381" s="28" t="e">
        <v>#N/A</v>
      </c>
      <c r="J381" s="26">
        <v>83.358507972974195</v>
      </c>
      <c r="K381" s="29">
        <v>0.33178976912982922</v>
      </c>
      <c r="L381" s="26">
        <v>3.0856123277610803</v>
      </c>
      <c r="M381" s="30">
        <v>0.57338035342297622</v>
      </c>
      <c r="N381" s="29" t="e">
        <v>#N/A</v>
      </c>
      <c r="O381" s="31" t="e">
        <v>#N/A</v>
      </c>
      <c r="P381" s="31">
        <v>2503009000</v>
      </c>
      <c r="Q381" s="31">
        <v>2503009000</v>
      </c>
      <c r="R381" s="29">
        <v>869694272</v>
      </c>
      <c r="S381" s="29">
        <v>5.8993282625505108</v>
      </c>
      <c r="T381" s="29">
        <v>5.8995763917198891</v>
      </c>
      <c r="U381" s="29">
        <v>23.55011486151308</v>
      </c>
      <c r="V381" s="29">
        <v>4.5704276198870586</v>
      </c>
      <c r="W381">
        <v>0.53062672639275432</v>
      </c>
      <c r="X381" t="s">
        <v>66</v>
      </c>
      <c r="Y381" t="s">
        <v>176</v>
      </c>
      <c r="Z381" t="s">
        <v>236</v>
      </c>
    </row>
    <row r="382" spans="2:26" x14ac:dyDescent="0.25">
      <c r="B382" t="s">
        <v>993</v>
      </c>
      <c r="C382" s="26" t="s">
        <v>994</v>
      </c>
      <c r="D382" s="26" t="e">
        <v>#N/A</v>
      </c>
      <c r="E382" s="26">
        <v>7.0624071461274682E-2</v>
      </c>
      <c r="F382" s="26" t="e">
        <v>#N/A</v>
      </c>
      <c r="G382" s="27">
        <v>7.0468612919556473E-2</v>
      </c>
      <c r="H382" s="28">
        <v>9.4763162439769388</v>
      </c>
      <c r="I382" s="28">
        <v>14.915645190871095</v>
      </c>
      <c r="J382" s="26">
        <v>14.746507843370367</v>
      </c>
      <c r="K382" s="29">
        <v>2.7347558589825738E-2</v>
      </c>
      <c r="L382" s="26">
        <v>0.27387438907510064</v>
      </c>
      <c r="M382" s="30">
        <v>0.57468374484129814</v>
      </c>
      <c r="N382" s="29" t="e">
        <v>#N/A</v>
      </c>
      <c r="O382" s="31" t="e">
        <v>#N/A</v>
      </c>
      <c r="P382" s="31">
        <v>1070230000</v>
      </c>
      <c r="Q382" s="31">
        <v>1072591000</v>
      </c>
      <c r="R382" s="29">
        <v>1229105280</v>
      </c>
      <c r="S382" s="29">
        <v>6.791214754332735</v>
      </c>
      <c r="T382" s="29">
        <v>8.7668155439352002</v>
      </c>
      <c r="U382" s="29">
        <v>12.736988649174137</v>
      </c>
      <c r="V382" s="29">
        <v>17.108807316462041</v>
      </c>
      <c r="W382">
        <v>1.1563557664608439</v>
      </c>
      <c r="X382" t="s">
        <v>77</v>
      </c>
      <c r="Y382" t="s">
        <v>85</v>
      </c>
      <c r="Z382" t="s">
        <v>195</v>
      </c>
    </row>
    <row r="383" spans="2:26" x14ac:dyDescent="0.25">
      <c r="B383" t="s">
        <v>995</v>
      </c>
      <c r="C383" s="26" t="s">
        <v>996</v>
      </c>
      <c r="D383" s="26" t="e">
        <v>#N/A</v>
      </c>
      <c r="E383" s="26">
        <v>0.2244778191455796</v>
      </c>
      <c r="F383" s="26" t="e">
        <v>#N/A</v>
      </c>
      <c r="G383" s="27">
        <v>0.20346612520376356</v>
      </c>
      <c r="H383" s="28" t="e">
        <v>#N/A</v>
      </c>
      <c r="I383" s="28" t="e">
        <v>#N/A</v>
      </c>
      <c r="J383" s="26">
        <v>8.0308451549149744</v>
      </c>
      <c r="K383" s="29">
        <v>0.26118447809756212</v>
      </c>
      <c r="L383" s="26" t="e">
        <v>#N/A</v>
      </c>
      <c r="M383" s="30">
        <v>0.4600451597405717</v>
      </c>
      <c r="N383" s="29" t="e">
        <v>#N/A</v>
      </c>
      <c r="O383" s="31" t="e">
        <v>#N/A</v>
      </c>
      <c r="P383" s="31">
        <v>158470000</v>
      </c>
      <c r="Q383" s="31">
        <v>174835000</v>
      </c>
      <c r="R383" s="29">
        <v>278051968</v>
      </c>
      <c r="S383" s="29" t="e">
        <v>#N/A</v>
      </c>
      <c r="T383" s="29" t="e">
        <v>#N/A</v>
      </c>
      <c r="U383" s="29" t="e">
        <v>#N/A</v>
      </c>
      <c r="V383" s="29" t="e">
        <v>#N/A</v>
      </c>
      <c r="W383">
        <v>1.1872393377500041</v>
      </c>
      <c r="X383" t="s">
        <v>77</v>
      </c>
      <c r="Y383" t="s">
        <v>102</v>
      </c>
      <c r="Z383" t="s">
        <v>112</v>
      </c>
    </row>
    <row r="384" spans="2:26" x14ac:dyDescent="0.25">
      <c r="B384" t="s">
        <v>997</v>
      </c>
      <c r="C384" s="26" t="s">
        <v>998</v>
      </c>
      <c r="D384" s="26" t="e">
        <v>#N/A</v>
      </c>
      <c r="E384" s="26">
        <v>3.8515580129523772</v>
      </c>
      <c r="F384" s="26" t="e">
        <v>#N/A</v>
      </c>
      <c r="G384" s="27">
        <v>-5.3513151726422166</v>
      </c>
      <c r="H384" s="28">
        <v>-76.180160738376145</v>
      </c>
      <c r="I384" s="28" t="e">
        <v>#N/A</v>
      </c>
      <c r="J384" s="26">
        <v>-64.983062624858846</v>
      </c>
      <c r="K384" s="29">
        <v>-0.44231478068558788</v>
      </c>
      <c r="L384" s="26">
        <v>0.71580108579911572</v>
      </c>
      <c r="M384" s="30">
        <v>0.47960176231618701</v>
      </c>
      <c r="N384" s="29" t="e">
        <v>#N/A</v>
      </c>
      <c r="O384" s="31" t="e">
        <v>#N/A</v>
      </c>
      <c r="P384" s="31">
        <v>-28200464.599999979</v>
      </c>
      <c r="Q384" s="31">
        <v>20297015.200000018</v>
      </c>
      <c r="R384" s="29">
        <v>236318496</v>
      </c>
      <c r="S384" s="29" t="e">
        <v>#N/A</v>
      </c>
      <c r="T384" s="29" t="e">
        <v>#N/A</v>
      </c>
      <c r="U384" s="29">
        <v>-29.856656234729897</v>
      </c>
      <c r="V384" s="29" t="e">
        <v>#N/A</v>
      </c>
      <c r="W384">
        <v>2.9700298034709758</v>
      </c>
      <c r="X384" t="s">
        <v>91</v>
      </c>
      <c r="Y384" t="s">
        <v>94</v>
      </c>
      <c r="Z384" t="s">
        <v>212</v>
      </c>
    </row>
    <row r="385" spans="2:26" x14ac:dyDescent="0.25">
      <c r="B385" t="s">
        <v>999</v>
      </c>
      <c r="C385" s="26" t="s">
        <v>1000</v>
      </c>
      <c r="D385" s="26" t="e">
        <v>#N/A</v>
      </c>
      <c r="E385" s="26">
        <v>7.8708406854707147E-2</v>
      </c>
      <c r="F385" s="26" t="e">
        <v>#N/A</v>
      </c>
      <c r="G385" s="27">
        <v>7.2779814575607643E-2</v>
      </c>
      <c r="H385" s="28">
        <v>3.2266411505014823</v>
      </c>
      <c r="I385" s="28">
        <v>19.386283100645365</v>
      </c>
      <c r="J385" s="26">
        <v>20.775534952304774</v>
      </c>
      <c r="K385" s="29">
        <v>0.46935914240111726</v>
      </c>
      <c r="L385" s="26">
        <v>9.9360150906713258</v>
      </c>
      <c r="M385" s="30">
        <v>0.37198273008675081</v>
      </c>
      <c r="N385" s="29" t="e">
        <v>#N/A</v>
      </c>
      <c r="O385" s="31" t="e">
        <v>#N/A</v>
      </c>
      <c r="P385" s="31">
        <v>1186163000</v>
      </c>
      <c r="Q385" s="31">
        <v>1282787000</v>
      </c>
      <c r="R385" s="29">
        <v>2533134592</v>
      </c>
      <c r="S385" s="29">
        <v>22.049957343393782</v>
      </c>
      <c r="T385" s="29">
        <v>119.30116235677166</v>
      </c>
      <c r="U385" s="29">
        <v>6.2443977710285044</v>
      </c>
      <c r="V385" s="29">
        <v>37.935645272601796</v>
      </c>
      <c r="W385">
        <v>1.4616944473272238</v>
      </c>
      <c r="X385" t="s">
        <v>77</v>
      </c>
      <c r="Y385" t="s">
        <v>129</v>
      </c>
      <c r="Z385" t="s">
        <v>250</v>
      </c>
    </row>
    <row r="386" spans="2:26" x14ac:dyDescent="0.25">
      <c r="B386" t="s">
        <v>1001</v>
      </c>
      <c r="C386" s="26" t="s">
        <v>1002</v>
      </c>
      <c r="D386" s="26" t="e">
        <v>#N/A</v>
      </c>
      <c r="E386" s="26">
        <v>4.0445580289907594</v>
      </c>
      <c r="F386" s="26" t="e">
        <v>#N/A</v>
      </c>
      <c r="G386" s="27">
        <v>4.0445580289907594</v>
      </c>
      <c r="H386" s="28">
        <v>22.45292920238294</v>
      </c>
      <c r="I386" s="28" t="e">
        <v>#N/A</v>
      </c>
      <c r="J386" s="26">
        <v>51.57971515221314</v>
      </c>
      <c r="K386" s="29">
        <v>-0.82607172059338863</v>
      </c>
      <c r="L386" s="26">
        <v>-5.9802544565367626</v>
      </c>
      <c r="M386" s="30">
        <v>0.93069345481446875</v>
      </c>
      <c r="N386" s="29">
        <v>4.9006773436889944E-2</v>
      </c>
      <c r="O386" s="31" t="e">
        <v>#N/A</v>
      </c>
      <c r="P386" s="31">
        <v>10676342.599999994</v>
      </c>
      <c r="Q386" s="31">
        <v>10676342.599999994</v>
      </c>
      <c r="R386" s="29">
        <v>1815490048</v>
      </c>
      <c r="S386" s="29">
        <v>76.314352342029096</v>
      </c>
      <c r="T386" s="29">
        <v>81.815889600548246</v>
      </c>
      <c r="U386" s="29">
        <v>0.65332368919942285</v>
      </c>
      <c r="V386" s="29">
        <v>94.57557520099968</v>
      </c>
      <c r="W386">
        <v>12.057345186226126</v>
      </c>
      <c r="X386" t="s">
        <v>77</v>
      </c>
      <c r="Y386" t="s">
        <v>83</v>
      </c>
      <c r="Z386" t="s">
        <v>240</v>
      </c>
    </row>
    <row r="387" spans="2:26" x14ac:dyDescent="0.25">
      <c r="B387" t="s">
        <v>1003</v>
      </c>
      <c r="C387" s="26" t="s">
        <v>1004</v>
      </c>
      <c r="D387" s="26" t="e">
        <v>#N/A</v>
      </c>
      <c r="E387" s="26">
        <v>-3.009005400697418E-2</v>
      </c>
      <c r="F387" s="26" t="e">
        <v>#N/A</v>
      </c>
      <c r="G387" s="27">
        <v>-1.0874734909668244E-2</v>
      </c>
      <c r="H387" s="28">
        <v>-7.7410225516852256</v>
      </c>
      <c r="I387" s="28" t="e">
        <v>#N/A</v>
      </c>
      <c r="J387" s="26">
        <v>7.1031652571102324</v>
      </c>
      <c r="K387" s="29">
        <v>2.0819947345349466E-2</v>
      </c>
      <c r="L387" s="26">
        <v>0.59322448181462606</v>
      </c>
      <c r="M387" s="30">
        <v>0.63331068051392858</v>
      </c>
      <c r="N387" s="29" t="e">
        <v>#N/A</v>
      </c>
      <c r="O387" s="31" t="e">
        <v>#N/A</v>
      </c>
      <c r="P387" s="31">
        <v>314589000</v>
      </c>
      <c r="Q387" s="31">
        <v>870458000</v>
      </c>
      <c r="R387" s="29">
        <v>1274190336</v>
      </c>
      <c r="S387" s="29">
        <v>31.737884630426279</v>
      </c>
      <c r="T387" s="29" t="e">
        <v>#N/A</v>
      </c>
      <c r="U387" s="29">
        <v>3.4185630489666505</v>
      </c>
      <c r="V387" s="29" t="e">
        <v>#N/A</v>
      </c>
      <c r="W387">
        <v>1.1623687003511771</v>
      </c>
      <c r="X387" t="s">
        <v>71</v>
      </c>
      <c r="Y387" t="s">
        <v>220</v>
      </c>
      <c r="Z387" t="s">
        <v>221</v>
      </c>
    </row>
    <row r="388" spans="2:26" x14ac:dyDescent="0.25">
      <c r="B388" t="s">
        <v>1005</v>
      </c>
      <c r="C388" s="26" t="s">
        <v>1006</v>
      </c>
      <c r="D388" s="26" t="e">
        <v>#N/A</v>
      </c>
      <c r="E388" s="26">
        <v>-1.8677165895844419</v>
      </c>
      <c r="F388" s="26" t="e">
        <v>#N/A</v>
      </c>
      <c r="G388" s="27">
        <v>-1.8677165895844419</v>
      </c>
      <c r="H388" s="28">
        <v>-20.285034888098643</v>
      </c>
      <c r="I388" s="28" t="e">
        <v>#N/A</v>
      </c>
      <c r="J388" s="26">
        <v>-39.946104644263855</v>
      </c>
      <c r="K388" s="29">
        <v>-0.71967026019557767</v>
      </c>
      <c r="L388" s="26">
        <v>4.1995247130071478</v>
      </c>
      <c r="M388" s="30">
        <v>0.81518149647352478</v>
      </c>
      <c r="N388" s="29" t="e">
        <v>#N/A</v>
      </c>
      <c r="O388" s="31" t="e">
        <v>#N/A</v>
      </c>
      <c r="P388" s="31">
        <v>58163000.00000006</v>
      </c>
      <c r="Q388" s="31">
        <v>58163000.00000006</v>
      </c>
      <c r="R388" s="29">
        <v>788938240</v>
      </c>
      <c r="S388" s="29" t="e">
        <v>#N/A</v>
      </c>
      <c r="T388" s="29" t="e">
        <v>#N/A</v>
      </c>
      <c r="U388" s="29">
        <v>-4.3430522521002395</v>
      </c>
      <c r="V388" s="29" t="e">
        <v>#N/A</v>
      </c>
      <c r="W388">
        <v>1.5434872794444994</v>
      </c>
      <c r="X388" t="s">
        <v>91</v>
      </c>
      <c r="Y388" t="s">
        <v>94</v>
      </c>
      <c r="Z388" t="s">
        <v>212</v>
      </c>
    </row>
    <row r="389" spans="2:26" x14ac:dyDescent="0.25">
      <c r="B389" t="s">
        <v>1007</v>
      </c>
      <c r="C389" s="26" t="s">
        <v>1008</v>
      </c>
      <c r="D389" s="26" t="e">
        <v>#N/A</v>
      </c>
      <c r="E389" s="26">
        <v>-1.0212269129722161E-2</v>
      </c>
      <c r="F389" s="26" t="e">
        <v>#N/A</v>
      </c>
      <c r="G389" s="27">
        <v>-1.0212269129722161E-2</v>
      </c>
      <c r="H389" s="28">
        <v>2.8642568323307427</v>
      </c>
      <c r="I389" s="28" t="e">
        <v>#N/A</v>
      </c>
      <c r="J389" s="26">
        <v>-15.562729600356231</v>
      </c>
      <c r="K389" s="29">
        <v>0.24347882167343016</v>
      </c>
      <c r="L389" s="26">
        <v>-37.40695761159612</v>
      </c>
      <c r="M389" s="30">
        <v>0.55618780199827367</v>
      </c>
      <c r="N389" s="29">
        <v>3.2136455913919594E-2</v>
      </c>
      <c r="O389" s="31" t="e">
        <v>#N/A</v>
      </c>
      <c r="P389" s="31">
        <v>606823403.20000005</v>
      </c>
      <c r="Q389" s="31">
        <v>606823403.20000005</v>
      </c>
      <c r="R389" s="29">
        <v>589131904</v>
      </c>
      <c r="S389" s="29" t="e">
        <v>#N/A</v>
      </c>
      <c r="T389" s="29" t="e">
        <v>#N/A</v>
      </c>
      <c r="U389" s="29">
        <v>-35.116711854265944</v>
      </c>
      <c r="V389" s="29">
        <v>73.306887407413882</v>
      </c>
      <c r="W389">
        <v>1.555792782647448</v>
      </c>
      <c r="X389" t="s">
        <v>69</v>
      </c>
      <c r="Y389" t="s">
        <v>70</v>
      </c>
      <c r="Z389" t="s">
        <v>70</v>
      </c>
    </row>
    <row r="390" spans="2:26" x14ac:dyDescent="0.25">
      <c r="B390" t="s">
        <v>1009</v>
      </c>
      <c r="C390" s="26" t="s">
        <v>1010</v>
      </c>
      <c r="D390" s="26" t="e">
        <v>#N/A</v>
      </c>
      <c r="E390" s="26">
        <v>-3.9222854755314146E-2</v>
      </c>
      <c r="F390" s="26" t="e">
        <v>#N/A</v>
      </c>
      <c r="G390" s="27">
        <v>-6.0370988162945394E-2</v>
      </c>
      <c r="H390" s="28">
        <v>-196.00615177584467</v>
      </c>
      <c r="I390" s="28" t="e">
        <v>#N/A</v>
      </c>
      <c r="J390" s="26">
        <v>4.3694647350277656</v>
      </c>
      <c r="K390" s="29">
        <v>-0.56049155022753239</v>
      </c>
      <c r="L390" s="26">
        <v>-9.813188259553371</v>
      </c>
      <c r="M390" s="30">
        <v>4.1221621393166825E-2</v>
      </c>
      <c r="N390" s="29" t="e">
        <v>#N/A</v>
      </c>
      <c r="O390" s="31" t="e">
        <v>#N/A</v>
      </c>
      <c r="P390" s="31">
        <v>-76588000</v>
      </c>
      <c r="Q390" s="31">
        <v>-49759000</v>
      </c>
      <c r="R390" s="29">
        <v>1460521984</v>
      </c>
      <c r="S390" s="29">
        <v>54.264466459000573</v>
      </c>
      <c r="T390" s="29">
        <v>92.66182079712317</v>
      </c>
      <c r="U390" s="29">
        <v>4.0621778138192006</v>
      </c>
      <c r="V390" s="29" t="e">
        <v>#N/A</v>
      </c>
      <c r="W390">
        <v>163.47568457507396</v>
      </c>
      <c r="X390" t="s">
        <v>91</v>
      </c>
      <c r="Y390" t="s">
        <v>94</v>
      </c>
      <c r="Z390" t="s">
        <v>212</v>
      </c>
    </row>
    <row r="391" spans="2:26" x14ac:dyDescent="0.25">
      <c r="B391" t="s">
        <v>1011</v>
      </c>
      <c r="C391" s="26" t="s">
        <v>1012</v>
      </c>
      <c r="D391" s="26" t="e">
        <v>#N/A</v>
      </c>
      <c r="E391" s="26">
        <v>-3.6270090261969784E-2</v>
      </c>
      <c r="F391" s="26" t="e">
        <v>#N/A</v>
      </c>
      <c r="G391" s="27">
        <v>-3.5881589392241099E-2</v>
      </c>
      <c r="H391" s="28">
        <v>-3.6774893876146177</v>
      </c>
      <c r="I391" s="28">
        <v>-13.627693649239657</v>
      </c>
      <c r="J391" s="26">
        <v>5.8876830516618268</v>
      </c>
      <c r="K391" s="29">
        <v>0.11079531682864341</v>
      </c>
      <c r="L391" s="26">
        <v>2.7369494833015482</v>
      </c>
      <c r="M391" s="30">
        <v>0.4138617467421985</v>
      </c>
      <c r="N391" s="29">
        <v>2.5987873241047937E-2</v>
      </c>
      <c r="O391" s="31" t="e">
        <v>#N/A</v>
      </c>
      <c r="P391" s="31">
        <v>290377000</v>
      </c>
      <c r="Q391" s="31">
        <v>293521000</v>
      </c>
      <c r="R391" s="29">
        <v>335166848</v>
      </c>
      <c r="S391" s="29">
        <v>17.699199361334102</v>
      </c>
      <c r="T391" s="29" t="e">
        <v>#N/A</v>
      </c>
      <c r="U391" s="29">
        <v>-5.1881622850718232</v>
      </c>
      <c r="V391" s="29" t="e">
        <v>#N/A</v>
      </c>
      <c r="W391">
        <v>1.4235085332166302</v>
      </c>
      <c r="X391" t="s">
        <v>71</v>
      </c>
      <c r="Y391" t="s">
        <v>101</v>
      </c>
      <c r="Z391" t="s">
        <v>166</v>
      </c>
    </row>
    <row r="392" spans="2:26" x14ac:dyDescent="0.25">
      <c r="B392" t="s">
        <v>1013</v>
      </c>
      <c r="C392" s="26" t="s">
        <v>1014</v>
      </c>
      <c r="D392" s="26" t="e">
        <v>#N/A</v>
      </c>
      <c r="E392" s="26">
        <v>0.13272786111720064</v>
      </c>
      <c r="F392" s="26" t="e">
        <v>#N/A</v>
      </c>
      <c r="G392" s="27">
        <v>0.12896001493024775</v>
      </c>
      <c r="H392" s="28">
        <v>12.696713647842156</v>
      </c>
      <c r="I392" s="28">
        <v>13.750995811094878</v>
      </c>
      <c r="J392" s="26">
        <v>18.787872213483755</v>
      </c>
      <c r="K392" s="29">
        <v>-2.0109589093742757E-3</v>
      </c>
      <c r="L392" s="26">
        <v>-2.007847200237927E-2</v>
      </c>
      <c r="M392" s="30">
        <v>0.45388707336334883</v>
      </c>
      <c r="N392" s="29" t="e">
        <v>#N/A</v>
      </c>
      <c r="O392" s="31" t="e">
        <v>#N/A</v>
      </c>
      <c r="P392" s="31">
        <v>478965000</v>
      </c>
      <c r="Q392" s="31">
        <v>492959000</v>
      </c>
      <c r="R392" s="29">
        <v>1068201728</v>
      </c>
      <c r="S392" s="29">
        <v>10.245975460711236</v>
      </c>
      <c r="T392" s="29">
        <v>14.187708926673752</v>
      </c>
      <c r="U392" s="29">
        <v>3.3637841110101632</v>
      </c>
      <c r="V392" s="29">
        <v>18.391160265112195</v>
      </c>
      <c r="W392">
        <v>2.206607188547316</v>
      </c>
      <c r="X392" t="s">
        <v>77</v>
      </c>
      <c r="Y392" t="s">
        <v>90</v>
      </c>
      <c r="Z392" t="s">
        <v>125</v>
      </c>
    </row>
    <row r="393" spans="2:26" x14ac:dyDescent="0.25">
      <c r="B393" t="s">
        <v>1015</v>
      </c>
      <c r="C393" s="26" t="s">
        <v>1016</v>
      </c>
      <c r="D393" s="26" t="e">
        <v>#N/A</v>
      </c>
      <c r="E393" s="26">
        <v>8.6447900493968416E-2</v>
      </c>
      <c r="F393" s="26" t="e">
        <v>#N/A</v>
      </c>
      <c r="G393" s="27">
        <v>8.6447900493968416E-2</v>
      </c>
      <c r="H393" s="28" t="e">
        <v>#N/A</v>
      </c>
      <c r="I393" s="28" t="e">
        <v>#N/A</v>
      </c>
      <c r="J393" s="26">
        <v>13.618359386810994</v>
      </c>
      <c r="K393" s="29" t="e">
        <v>#N/A</v>
      </c>
      <c r="L393" s="26" t="e">
        <v>#N/A</v>
      </c>
      <c r="M393" s="30">
        <v>0.57155236444664526</v>
      </c>
      <c r="N393" s="29" t="e">
        <v>#N/A</v>
      </c>
      <c r="O393" s="31" t="e">
        <v>#N/A</v>
      </c>
      <c r="P393" s="31">
        <v>99220790.400000006</v>
      </c>
      <c r="Q393" s="31">
        <v>99220790.400000006</v>
      </c>
      <c r="R393" s="29">
        <v>647121088</v>
      </c>
      <c r="S393" s="29" t="e">
        <v>#N/A</v>
      </c>
      <c r="T393" s="29" t="e">
        <v>#N/A</v>
      </c>
      <c r="U393" s="29" t="e">
        <v>#N/A</v>
      </c>
      <c r="V393" s="29" t="e">
        <v>#N/A</v>
      </c>
      <c r="W393">
        <v>3.7790501820971376</v>
      </c>
      <c r="X393" t="s">
        <v>73</v>
      </c>
      <c r="Y393" t="s">
        <v>96</v>
      </c>
      <c r="Z393" t="s">
        <v>158</v>
      </c>
    </row>
    <row r="394" spans="2:26" x14ac:dyDescent="0.25">
      <c r="B394" t="s">
        <v>1017</v>
      </c>
      <c r="C394" s="26" t="s">
        <v>1018</v>
      </c>
      <c r="D394" s="26" t="e">
        <v>#N/A</v>
      </c>
      <c r="E394" s="26">
        <v>0.12834622730068301</v>
      </c>
      <c r="F394" s="26">
        <v>8.3652292181286961E-2</v>
      </c>
      <c r="G394" s="27">
        <v>0.12834622730068301</v>
      </c>
      <c r="H394" s="28">
        <v>5.0546152922818388</v>
      </c>
      <c r="I394" s="28">
        <v>11.389418521748649</v>
      </c>
      <c r="J394" s="26">
        <v>15.773281756472539</v>
      </c>
      <c r="K394" s="29">
        <v>4.5558987780939503E-2</v>
      </c>
      <c r="L394" s="26">
        <v>0.32665975669630698</v>
      </c>
      <c r="M394" s="30">
        <v>0.65957819133557527</v>
      </c>
      <c r="N394" s="29">
        <v>4.2414022177934491E-3</v>
      </c>
      <c r="O394" s="31">
        <v>1.7623406371339225</v>
      </c>
      <c r="P394" s="31">
        <v>92679000</v>
      </c>
      <c r="Q394" s="31">
        <v>92679000</v>
      </c>
      <c r="R394" s="29">
        <v>344120032</v>
      </c>
      <c r="S394" s="29">
        <v>5.4658918771480005</v>
      </c>
      <c r="T394" s="29">
        <v>9.0249742388758776</v>
      </c>
      <c r="U394" s="29">
        <v>-4.6691571187782461</v>
      </c>
      <c r="V394" s="29">
        <v>18.85777740009333</v>
      </c>
      <c r="W394">
        <v>1.0882718599698709</v>
      </c>
      <c r="X394" t="s">
        <v>77</v>
      </c>
      <c r="Y394" t="s">
        <v>83</v>
      </c>
      <c r="Z394" t="s">
        <v>1019</v>
      </c>
    </row>
    <row r="395" spans="2:26" x14ac:dyDescent="0.25">
      <c r="B395" t="s">
        <v>1020</v>
      </c>
      <c r="C395" s="26" t="s">
        <v>1021</v>
      </c>
      <c r="D395" s="26" t="e">
        <v>#N/A</v>
      </c>
      <c r="E395" s="26">
        <v>3.8828125294074725E-3</v>
      </c>
      <c r="F395" s="26" t="e">
        <v>#N/A</v>
      </c>
      <c r="G395" s="27">
        <v>3.8828125294074725E-3</v>
      </c>
      <c r="H395" s="28" t="e">
        <v>#N/A</v>
      </c>
      <c r="I395" s="28" t="e">
        <v>#N/A</v>
      </c>
      <c r="J395" s="26">
        <v>1.7720340803322114</v>
      </c>
      <c r="K395" s="29" t="e">
        <v>#N/A</v>
      </c>
      <c r="L395" s="26" t="e">
        <v>#N/A</v>
      </c>
      <c r="M395" s="30">
        <v>0.40840480389461475</v>
      </c>
      <c r="N395" s="29" t="e">
        <v>#N/A</v>
      </c>
      <c r="O395" s="31" t="e">
        <v>#N/A</v>
      </c>
      <c r="P395" s="31">
        <v>350423878.69999993</v>
      </c>
      <c r="Q395" s="31">
        <v>350423878.69999993</v>
      </c>
      <c r="R395" s="29">
        <v>252606928</v>
      </c>
      <c r="S395" s="29" t="e">
        <v>#N/A</v>
      </c>
      <c r="T395" s="29" t="e">
        <v>#N/A</v>
      </c>
      <c r="U395" s="29" t="e">
        <v>#N/A</v>
      </c>
      <c r="V395" s="29" t="e">
        <v>#N/A</v>
      </c>
      <c r="W395">
        <v>1.3944939637457929</v>
      </c>
      <c r="X395" t="s">
        <v>66</v>
      </c>
      <c r="Y395" t="s">
        <v>78</v>
      </c>
      <c r="Z395" t="s">
        <v>121</v>
      </c>
    </row>
    <row r="396" spans="2:26" x14ac:dyDescent="0.25">
      <c r="B396" t="s">
        <v>1022</v>
      </c>
      <c r="C396" s="26" t="s">
        <v>1023</v>
      </c>
      <c r="D396" s="26" t="e">
        <v>#N/A</v>
      </c>
      <c r="E396" s="26">
        <v>6.7517658038595676E-2</v>
      </c>
      <c r="F396" s="26" t="e">
        <v>#N/A</v>
      </c>
      <c r="G396" s="27">
        <v>6.7517658038595676E-2</v>
      </c>
      <c r="H396" s="28">
        <v>17.548764489558916</v>
      </c>
      <c r="I396" s="28" t="e">
        <v>#N/A</v>
      </c>
      <c r="J396" s="26">
        <v>75.497403523062829</v>
      </c>
      <c r="K396" s="29">
        <v>0.76628162905329467</v>
      </c>
      <c r="L396" s="26">
        <v>9.8650470744945977</v>
      </c>
      <c r="M396" s="30">
        <v>0.16736924124057612</v>
      </c>
      <c r="N396" s="29" t="e">
        <v>#N/A</v>
      </c>
      <c r="O396" s="31" t="e">
        <v>#N/A</v>
      </c>
      <c r="P396" s="31">
        <v>1029701000</v>
      </c>
      <c r="Q396" s="31">
        <v>1029701000</v>
      </c>
      <c r="R396" s="29">
        <v>275853984</v>
      </c>
      <c r="S396" s="29">
        <v>12.364698061745067</v>
      </c>
      <c r="T396" s="29">
        <v>12.921327841065123</v>
      </c>
      <c r="U396" s="29" t="e">
        <v>#N/A</v>
      </c>
      <c r="V396" s="29">
        <v>7.0803242267784716</v>
      </c>
      <c r="W396">
        <v>1.1564327100882024</v>
      </c>
      <c r="X396" t="s">
        <v>66</v>
      </c>
      <c r="Y396" t="s">
        <v>84</v>
      </c>
      <c r="Z396" t="s">
        <v>182</v>
      </c>
    </row>
    <row r="397" spans="2:26" x14ac:dyDescent="0.25">
      <c r="B397" t="s">
        <v>1024</v>
      </c>
      <c r="C397" s="26" t="s">
        <v>1025</v>
      </c>
      <c r="D397" s="26" t="e">
        <v>#N/A</v>
      </c>
      <c r="E397" s="26">
        <v>-1.3824515788680382E-2</v>
      </c>
      <c r="F397" s="26" t="e">
        <v>#N/A</v>
      </c>
      <c r="G397" s="27">
        <v>-1.2849418821005626E-2</v>
      </c>
      <c r="H397" s="28" t="e">
        <v>#N/A</v>
      </c>
      <c r="I397" s="28" t="e">
        <v>#N/A</v>
      </c>
      <c r="J397" s="26">
        <v>-15.244306875967279</v>
      </c>
      <c r="K397" s="29">
        <v>0.21184356898998813</v>
      </c>
      <c r="L397" s="26" t="e">
        <v>#N/A</v>
      </c>
      <c r="M397" s="30">
        <v>0.40312255668491015</v>
      </c>
      <c r="N397" s="29" t="e">
        <v>#N/A</v>
      </c>
      <c r="O397" s="31" t="e">
        <v>#N/A</v>
      </c>
      <c r="P397" s="31">
        <v>212304000</v>
      </c>
      <c r="Q397" s="31">
        <v>228415000</v>
      </c>
      <c r="R397" s="29">
        <v>511634848</v>
      </c>
      <c r="S397" s="29" t="e">
        <v>#N/A</v>
      </c>
      <c r="T397" s="29" t="e">
        <v>#N/A</v>
      </c>
      <c r="U397" s="29" t="e">
        <v>#N/A</v>
      </c>
      <c r="V397" s="29" t="e">
        <v>#N/A</v>
      </c>
      <c r="W397">
        <v>1.3312536988277475</v>
      </c>
      <c r="X397" t="s">
        <v>69</v>
      </c>
      <c r="Y397" t="s">
        <v>70</v>
      </c>
      <c r="Z397" t="s">
        <v>70</v>
      </c>
    </row>
    <row r="398" spans="2:26" x14ac:dyDescent="0.25">
      <c r="B398" t="s">
        <v>1026</v>
      </c>
      <c r="C398" s="26" t="s">
        <v>1027</v>
      </c>
      <c r="D398" s="26" t="e">
        <v>#N/A</v>
      </c>
      <c r="E398" s="26">
        <v>1.3941898232932806</v>
      </c>
      <c r="F398" s="26" t="e">
        <v>#N/A</v>
      </c>
      <c r="G398" s="27">
        <v>1.3941898232932806</v>
      </c>
      <c r="H398" s="28" t="e">
        <v>#N/A</v>
      </c>
      <c r="I398" s="28" t="e">
        <v>#N/A</v>
      </c>
      <c r="J398" s="26">
        <v>67.908400168847635</v>
      </c>
      <c r="K398" s="29" t="e">
        <v>#N/A</v>
      </c>
      <c r="L398" s="26" t="e">
        <v>#N/A</v>
      </c>
      <c r="M398" s="30">
        <v>0.97196233791426068</v>
      </c>
      <c r="N398" s="29" t="e">
        <v>#N/A</v>
      </c>
      <c r="O398" s="31" t="e">
        <v>#N/A</v>
      </c>
      <c r="P398" s="31">
        <v>15717927</v>
      </c>
      <c r="Q398" s="31">
        <v>15717927</v>
      </c>
      <c r="R398" s="29">
        <v>473131008</v>
      </c>
      <c r="S398" s="29" t="e">
        <v>#N/A</v>
      </c>
      <c r="T398" s="29" t="e">
        <v>#N/A</v>
      </c>
      <c r="U398" s="29" t="e">
        <v>#N/A</v>
      </c>
      <c r="V398" s="29" t="e">
        <v>#N/A</v>
      </c>
      <c r="W398">
        <v>1.9503343296193398</v>
      </c>
      <c r="X398" t="s">
        <v>66</v>
      </c>
      <c r="Y398" t="s">
        <v>86</v>
      </c>
      <c r="Z398" t="s">
        <v>86</v>
      </c>
    </row>
    <row r="399" spans="2:26" x14ac:dyDescent="0.25">
      <c r="B399" t="s">
        <v>1028</v>
      </c>
      <c r="C399" s="26" t="s">
        <v>1029</v>
      </c>
      <c r="D399" s="26" t="e">
        <v>#N/A</v>
      </c>
      <c r="E399" s="26" t="e">
        <v>#N/A</v>
      </c>
      <c r="F399" s="26" t="e">
        <v>#N/A</v>
      </c>
      <c r="G399" s="27" t="e">
        <v>#N/A</v>
      </c>
      <c r="H399" s="28" t="e">
        <v>#N/A</v>
      </c>
      <c r="I399" s="28" t="e">
        <v>#N/A</v>
      </c>
      <c r="J399" s="26" t="e">
        <v>#N/A</v>
      </c>
      <c r="K399" s="29" t="e">
        <v>#N/A</v>
      </c>
      <c r="L399" s="26" t="e">
        <v>#N/A</v>
      </c>
      <c r="M399" s="30" t="e">
        <v>#N/A</v>
      </c>
      <c r="N399" s="29" t="e">
        <v>#N/A</v>
      </c>
      <c r="O399" s="31" t="e">
        <v>#N/A</v>
      </c>
      <c r="P399" s="31" t="e">
        <v>#N/A</v>
      </c>
      <c r="Q399" s="31" t="e">
        <v>#N/A</v>
      </c>
      <c r="R399" s="29">
        <v>257662960</v>
      </c>
      <c r="S399" s="29" t="e">
        <v>#N/A</v>
      </c>
      <c r="T399" s="29" t="e">
        <v>#N/A</v>
      </c>
      <c r="U399" s="29">
        <v>-11.621837699849486</v>
      </c>
      <c r="V399" s="29" t="e">
        <v>#N/A</v>
      </c>
      <c r="W399" t="e">
        <v>#N/A</v>
      </c>
      <c r="X399" t="s">
        <v>91</v>
      </c>
      <c r="Y399" t="s">
        <v>216</v>
      </c>
      <c r="Z399" t="s">
        <v>222</v>
      </c>
    </row>
    <row r="400" spans="2:26" x14ac:dyDescent="0.25">
      <c r="B400" t="s">
        <v>1030</v>
      </c>
      <c r="C400" s="26" t="s">
        <v>1031</v>
      </c>
      <c r="D400" s="26" t="e">
        <v>#N/A</v>
      </c>
      <c r="E400" s="26">
        <v>-3.9285602995054243E-2</v>
      </c>
      <c r="F400" s="26" t="e">
        <v>#N/A</v>
      </c>
      <c r="G400" s="27">
        <v>-3.9285602995054243E-2</v>
      </c>
      <c r="H400" s="28">
        <v>31.287659563806731</v>
      </c>
      <c r="I400" s="28" t="e">
        <v>#N/A</v>
      </c>
      <c r="J400" s="26" t="e">
        <v>#N/A</v>
      </c>
      <c r="K400" s="29">
        <v>-0.28767426231109017</v>
      </c>
      <c r="L400" s="26" t="e">
        <v>#N/A</v>
      </c>
      <c r="M400" s="30">
        <v>0.93284546587704131</v>
      </c>
      <c r="N400" s="29" t="e">
        <v>#N/A</v>
      </c>
      <c r="O400" s="31" t="e">
        <v>#N/A</v>
      </c>
      <c r="P400" s="31">
        <v>224637000</v>
      </c>
      <c r="Q400" s="31">
        <v>224637000</v>
      </c>
      <c r="R400" s="29">
        <v>230320528</v>
      </c>
      <c r="S400" s="29" t="e">
        <v>#N/A</v>
      </c>
      <c r="T400" s="29" t="e">
        <v>#N/A</v>
      </c>
      <c r="U400" s="29">
        <v>-2.033253414563204</v>
      </c>
      <c r="V400" s="29">
        <v>0.70325660981541238</v>
      </c>
      <c r="W400">
        <v>0.23296120743578294</v>
      </c>
      <c r="X400" t="s">
        <v>66</v>
      </c>
      <c r="Y400" t="s">
        <v>108</v>
      </c>
      <c r="Z400" t="s">
        <v>108</v>
      </c>
    </row>
    <row r="401" spans="2:26" x14ac:dyDescent="0.25">
      <c r="B401" t="s">
        <v>1032</v>
      </c>
      <c r="C401" s="26" t="s">
        <v>1033</v>
      </c>
      <c r="D401" s="26">
        <v>0.32743671877382852</v>
      </c>
      <c r="E401" s="26">
        <v>0.19960499242983035</v>
      </c>
      <c r="F401" s="26">
        <v>0.32743671877382852</v>
      </c>
      <c r="G401" s="27">
        <v>0.19960499242983035</v>
      </c>
      <c r="H401" s="28">
        <v>18.690062151410057</v>
      </c>
      <c r="I401" s="28">
        <v>7.3662330806512939</v>
      </c>
      <c r="J401" s="26">
        <v>6.7043234759807984</v>
      </c>
      <c r="K401" s="29">
        <v>0.36864095177105871</v>
      </c>
      <c r="L401" s="26">
        <v>2.3872808459637476</v>
      </c>
      <c r="M401" s="30">
        <v>0.35822768017269196</v>
      </c>
      <c r="N401" s="29" t="e">
        <v>#N/A</v>
      </c>
      <c r="O401" s="31" t="e">
        <v>#N/A</v>
      </c>
      <c r="P401" s="31">
        <v>412144000</v>
      </c>
      <c r="Q401" s="31">
        <v>412144000</v>
      </c>
      <c r="R401" s="29">
        <v>332111072</v>
      </c>
      <c r="S401" s="29">
        <v>5.9226591432177589</v>
      </c>
      <c r="T401" s="29">
        <v>7.5422568715642182</v>
      </c>
      <c r="U401" s="29">
        <v>51.644469113032159</v>
      </c>
      <c r="V401" s="29">
        <v>10.225060222068958</v>
      </c>
      <c r="W401">
        <v>1.5183800362515441</v>
      </c>
      <c r="X401" t="s">
        <v>76</v>
      </c>
      <c r="Y401" t="s">
        <v>95</v>
      </c>
      <c r="Z401" t="s">
        <v>95</v>
      </c>
    </row>
    <row r="402" spans="2:26" x14ac:dyDescent="0.25">
      <c r="B402" t="s">
        <v>1034</v>
      </c>
      <c r="C402" s="26" t="s">
        <v>1035</v>
      </c>
      <c r="D402" s="26" t="e">
        <v>#N/A</v>
      </c>
      <c r="E402" s="26">
        <v>0.42465556858483877</v>
      </c>
      <c r="F402" s="26" t="e">
        <v>#N/A</v>
      </c>
      <c r="G402" s="27">
        <v>0.42465556858483877</v>
      </c>
      <c r="H402" s="28" t="e">
        <v>#N/A</v>
      </c>
      <c r="I402" s="28" t="e">
        <v>#N/A</v>
      </c>
      <c r="J402" s="26" t="e">
        <v>#N/A</v>
      </c>
      <c r="K402" s="29" t="e">
        <v>#N/A</v>
      </c>
      <c r="L402" s="26" t="e">
        <v>#N/A</v>
      </c>
      <c r="M402" s="30">
        <v>0.78531836014829226</v>
      </c>
      <c r="N402" s="29" t="e">
        <v>#N/A</v>
      </c>
      <c r="O402" s="31" t="e">
        <v>#N/A</v>
      </c>
      <c r="P402" s="31">
        <v>-31101566.800000001</v>
      </c>
      <c r="Q402" s="31">
        <v>-31101566.800000001</v>
      </c>
      <c r="R402" s="29">
        <v>483776096</v>
      </c>
      <c r="S402" s="29" t="e">
        <v>#N/A</v>
      </c>
      <c r="T402" s="29" t="e">
        <v>#N/A</v>
      </c>
      <c r="U402" s="29" t="e">
        <v>#N/A</v>
      </c>
      <c r="V402" s="29" t="e">
        <v>#N/A</v>
      </c>
      <c r="W402">
        <v>3.1391928956116999</v>
      </c>
      <c r="X402" t="s">
        <v>73</v>
      </c>
      <c r="Y402" t="s">
        <v>98</v>
      </c>
      <c r="Z402" t="s">
        <v>99</v>
      </c>
    </row>
    <row r="403" spans="2:26" x14ac:dyDescent="0.25">
      <c r="B403" t="s">
        <v>1036</v>
      </c>
      <c r="C403" s="26" t="s">
        <v>1037</v>
      </c>
      <c r="D403" s="26" t="e">
        <v>#N/A</v>
      </c>
      <c r="E403" s="26">
        <v>4.6094133752063456E-2</v>
      </c>
      <c r="F403" s="26" t="e">
        <v>#N/A</v>
      </c>
      <c r="G403" s="27">
        <v>4.6094133752063456E-2</v>
      </c>
      <c r="H403" s="28">
        <v>7.7354613131826202</v>
      </c>
      <c r="I403" s="28" t="e">
        <v>#N/A</v>
      </c>
      <c r="J403" s="26">
        <v>33.895069680290426</v>
      </c>
      <c r="K403" s="29">
        <v>-8.0803639036277825E-2</v>
      </c>
      <c r="L403" s="26">
        <v>-1.602780686766246</v>
      </c>
      <c r="M403" s="30">
        <v>0.51215072990520327</v>
      </c>
      <c r="N403" s="29">
        <v>8.0878571953279951E-2</v>
      </c>
      <c r="O403" s="31" t="e">
        <v>#N/A</v>
      </c>
      <c r="P403" s="31">
        <v>620925000</v>
      </c>
      <c r="Q403" s="31">
        <v>620925000</v>
      </c>
      <c r="R403" s="29">
        <v>661361856</v>
      </c>
      <c r="S403" s="29">
        <v>7.5104014771537235</v>
      </c>
      <c r="T403" s="29">
        <v>7.5438734394463669</v>
      </c>
      <c r="U403" s="29">
        <v>2.469298743470322</v>
      </c>
      <c r="V403" s="29">
        <v>27.612404769965671</v>
      </c>
      <c r="W403">
        <v>0.80172115483029249</v>
      </c>
      <c r="X403" t="s">
        <v>73</v>
      </c>
      <c r="Y403" t="s">
        <v>180</v>
      </c>
      <c r="Z403" t="s">
        <v>249</v>
      </c>
    </row>
    <row r="404" spans="2:26" x14ac:dyDescent="0.25">
      <c r="B404" t="s">
        <v>1038</v>
      </c>
      <c r="C404" s="26" t="s">
        <v>1039</v>
      </c>
      <c r="D404" s="26" t="e">
        <v>#N/A</v>
      </c>
      <c r="E404" s="26" t="e">
        <v>#N/A</v>
      </c>
      <c r="F404" s="26" t="e">
        <v>#N/A</v>
      </c>
      <c r="G404" s="27">
        <v>6.0130611574321279E-2</v>
      </c>
      <c r="H404" s="28">
        <v>6.374010401139488</v>
      </c>
      <c r="I404" s="28" t="e">
        <v>#N/A</v>
      </c>
      <c r="J404" s="26">
        <v>6.4753361929051723</v>
      </c>
      <c r="K404" s="29" t="e">
        <v>#N/A</v>
      </c>
      <c r="L404" s="26">
        <v>2.6719257021371807</v>
      </c>
      <c r="M404" s="30">
        <v>0.38146025805948625</v>
      </c>
      <c r="N404" s="29">
        <v>1.1942031286435104E-2</v>
      </c>
      <c r="O404" s="31" t="e">
        <v>#N/A</v>
      </c>
      <c r="P404" s="31" t="e">
        <v>#N/A</v>
      </c>
      <c r="Q404" s="31">
        <v>243469999.99999997</v>
      </c>
      <c r="R404" s="29">
        <v>608675648</v>
      </c>
      <c r="S404" s="29">
        <v>36.725615307150044</v>
      </c>
      <c r="T404" s="29">
        <v>44.838363934426226</v>
      </c>
      <c r="U404" s="29">
        <v>-12.161156807114448</v>
      </c>
      <c r="V404" s="29">
        <v>77.672129146388315</v>
      </c>
      <c r="W404">
        <v>3.1008954204352257</v>
      </c>
      <c r="X404" t="s">
        <v>66</v>
      </c>
      <c r="Y404" t="s">
        <v>84</v>
      </c>
      <c r="Z404" t="s">
        <v>151</v>
      </c>
    </row>
    <row r="405" spans="2:26" x14ac:dyDescent="0.25">
      <c r="B405" t="s">
        <v>1040</v>
      </c>
      <c r="C405" s="26" t="s">
        <v>1041</v>
      </c>
      <c r="D405" s="26" t="e">
        <v>#N/A</v>
      </c>
      <c r="E405" s="26">
        <v>0.12987601601087403</v>
      </c>
      <c r="F405" s="26" t="e">
        <v>#N/A</v>
      </c>
      <c r="G405" s="27">
        <v>0.12987601601087403</v>
      </c>
      <c r="H405" s="28" t="e">
        <v>#N/A</v>
      </c>
      <c r="I405" s="28" t="e">
        <v>#N/A</v>
      </c>
      <c r="J405" s="26">
        <v>40.812837763317532</v>
      </c>
      <c r="K405" s="29">
        <v>-0.11354681956577886</v>
      </c>
      <c r="L405" s="26" t="e">
        <v>#N/A</v>
      </c>
      <c r="M405" s="30">
        <v>1.2658416427056027</v>
      </c>
      <c r="N405" s="29" t="e">
        <v>#N/A</v>
      </c>
      <c r="O405" s="31" t="e">
        <v>#N/A</v>
      </c>
      <c r="P405" s="31">
        <v>272110965.60000002</v>
      </c>
      <c r="Q405" s="31">
        <v>272110965.60000002</v>
      </c>
      <c r="R405" s="29">
        <v>681385728</v>
      </c>
      <c r="S405" s="29" t="e">
        <v>#N/A</v>
      </c>
      <c r="T405" s="29" t="e">
        <v>#N/A</v>
      </c>
      <c r="U405" s="29" t="e">
        <v>#N/A</v>
      </c>
      <c r="V405" s="29" t="e">
        <v>#N/A</v>
      </c>
      <c r="W405">
        <v>4.3483787271707284</v>
      </c>
      <c r="X405" t="s">
        <v>71</v>
      </c>
      <c r="Y405" t="s">
        <v>75</v>
      </c>
      <c r="Z405" t="s">
        <v>226</v>
      </c>
    </row>
    <row r="406" spans="2:26" x14ac:dyDescent="0.25">
      <c r="B406" t="s">
        <v>1042</v>
      </c>
      <c r="C406" s="26" t="s">
        <v>1043</v>
      </c>
      <c r="D406" s="26" t="e">
        <v>#N/A</v>
      </c>
      <c r="E406" s="26">
        <v>3.2439279227288384E-2</v>
      </c>
      <c r="F406" s="26" t="e">
        <v>#N/A</v>
      </c>
      <c r="G406" s="27">
        <v>3.2439279227288384E-2</v>
      </c>
      <c r="H406" s="28">
        <v>19.162374238945368</v>
      </c>
      <c r="I406" s="28">
        <v>-5.443037125754576</v>
      </c>
      <c r="J406" s="26">
        <v>17.120930699675512</v>
      </c>
      <c r="K406" s="29">
        <v>0.40199652919663498</v>
      </c>
      <c r="L406" s="26">
        <v>5.5253743807598132</v>
      </c>
      <c r="M406" s="30">
        <v>0.3452757564995837</v>
      </c>
      <c r="N406" s="29">
        <v>1.1276122948950307E-2</v>
      </c>
      <c r="O406" s="31" t="e">
        <v>#N/A</v>
      </c>
      <c r="P406" s="31">
        <v>4526087000</v>
      </c>
      <c r="Q406" s="31">
        <v>4526087000</v>
      </c>
      <c r="R406" s="29">
        <v>2096185472</v>
      </c>
      <c r="S406" s="29">
        <v>11.086507478537923</v>
      </c>
      <c r="T406" s="29">
        <v>11.124146622037024</v>
      </c>
      <c r="U406" s="29">
        <v>-62.177179329291732</v>
      </c>
      <c r="V406" s="29">
        <v>55.216471783523694</v>
      </c>
      <c r="W406">
        <v>1.2065107914704578</v>
      </c>
      <c r="X406" t="s">
        <v>66</v>
      </c>
      <c r="Y406" t="s">
        <v>78</v>
      </c>
      <c r="Z406" t="s">
        <v>123</v>
      </c>
    </row>
    <row r="407" spans="2:26" x14ac:dyDescent="0.25">
      <c r="B407" t="s">
        <v>1044</v>
      </c>
      <c r="C407" s="26" t="s">
        <v>1045</v>
      </c>
      <c r="D407" s="26" t="e">
        <v>#N/A</v>
      </c>
      <c r="E407" s="26">
        <v>0.21847348846301301</v>
      </c>
      <c r="F407" s="26" t="e">
        <v>#N/A</v>
      </c>
      <c r="G407" s="27">
        <v>0.19651865981310929</v>
      </c>
      <c r="H407" s="28">
        <v>19.368820473171365</v>
      </c>
      <c r="I407" s="28" t="e">
        <v>#N/A</v>
      </c>
      <c r="J407" s="26">
        <v>7.8261067589724895</v>
      </c>
      <c r="K407" s="29">
        <v>0.17663474692202463</v>
      </c>
      <c r="L407" s="26">
        <v>1.2665009069572519</v>
      </c>
      <c r="M407" s="30">
        <v>0.35796792394153448</v>
      </c>
      <c r="N407" s="29">
        <v>1.7206775064970144E-2</v>
      </c>
      <c r="O407" s="31" t="e">
        <v>#N/A</v>
      </c>
      <c r="P407" s="31">
        <v>198404270.39999998</v>
      </c>
      <c r="Q407" s="31">
        <v>220569757.19999999</v>
      </c>
      <c r="R407" s="29">
        <v>682650688</v>
      </c>
      <c r="S407" s="29">
        <v>13.572696467889527</v>
      </c>
      <c r="T407" s="29">
        <v>17.394292703267066</v>
      </c>
      <c r="U407" s="29">
        <v>4.9653556463538608</v>
      </c>
      <c r="V407" s="29" t="e">
        <v>#N/A</v>
      </c>
      <c r="W407" t="e">
        <v>#N/A</v>
      </c>
      <c r="X407" t="s">
        <v>77</v>
      </c>
      <c r="Y407" t="s">
        <v>111</v>
      </c>
      <c r="Z407" t="s">
        <v>214</v>
      </c>
    </row>
    <row r="408" spans="2:26" x14ac:dyDescent="0.25">
      <c r="B408" t="s">
        <v>1046</v>
      </c>
      <c r="C408" s="26" t="s">
        <v>1047</v>
      </c>
      <c r="D408" s="26" t="e">
        <v>#N/A</v>
      </c>
      <c r="E408" s="26" t="e">
        <v>#N/A</v>
      </c>
      <c r="F408" s="26" t="e">
        <v>#N/A</v>
      </c>
      <c r="G408" s="27" t="e">
        <v>#N/A</v>
      </c>
      <c r="H408" s="28" t="e">
        <v>#N/A</v>
      </c>
      <c r="I408" s="28" t="e">
        <v>#N/A</v>
      </c>
      <c r="J408" s="26" t="e">
        <v>#N/A</v>
      </c>
      <c r="K408" s="29" t="e">
        <v>#N/A</v>
      </c>
      <c r="L408" s="26" t="e">
        <v>#N/A</v>
      </c>
      <c r="M408" s="30" t="e">
        <v>#N/A</v>
      </c>
      <c r="N408" s="29" t="e">
        <v>#N/A</v>
      </c>
      <c r="O408" s="31" t="e">
        <v>#N/A</v>
      </c>
      <c r="P408" s="31" t="e">
        <v>#N/A</v>
      </c>
      <c r="Q408" s="31" t="e">
        <v>#N/A</v>
      </c>
      <c r="R408" s="29">
        <v>232400000</v>
      </c>
      <c r="S408" s="29" t="e">
        <v>#N/A</v>
      </c>
      <c r="T408" s="29" t="e">
        <v>#N/A</v>
      </c>
      <c r="U408" s="29" t="e">
        <v>#N/A</v>
      </c>
      <c r="V408" s="29" t="e">
        <v>#N/A</v>
      </c>
      <c r="W408" t="e">
        <v>#N/A</v>
      </c>
      <c r="X408" t="s">
        <v>73</v>
      </c>
      <c r="Y408" t="s">
        <v>203</v>
      </c>
      <c r="Z408" t="s">
        <v>1048</v>
      </c>
    </row>
    <row r="409" spans="2:26" x14ac:dyDescent="0.25">
      <c r="B409" t="s">
        <v>1049</v>
      </c>
      <c r="C409" s="26" t="s">
        <v>1050</v>
      </c>
      <c r="D409" s="26" t="e">
        <v>#N/A</v>
      </c>
      <c r="E409" s="26">
        <v>3.1548394255645949E-2</v>
      </c>
      <c r="F409" s="26" t="e">
        <v>#N/A</v>
      </c>
      <c r="G409" s="27">
        <v>3.1548394255645949E-2</v>
      </c>
      <c r="H409" s="28">
        <v>36.132385767583472</v>
      </c>
      <c r="I409" s="28" t="e">
        <v>#N/A</v>
      </c>
      <c r="J409" s="26">
        <v>89.000411353352533</v>
      </c>
      <c r="K409" s="29">
        <v>0.83395415917335969</v>
      </c>
      <c r="L409" s="26">
        <v>14.71729244541797</v>
      </c>
      <c r="M409" s="30">
        <v>0.15775137375424469</v>
      </c>
      <c r="N409" s="29" t="e">
        <v>#N/A</v>
      </c>
      <c r="O409" s="31" t="e">
        <v>#N/A</v>
      </c>
      <c r="P409" s="31">
        <v>1369832000</v>
      </c>
      <c r="Q409" s="31">
        <v>1369832000</v>
      </c>
      <c r="R409" s="29">
        <v>341966176</v>
      </c>
      <c r="S409" s="29">
        <v>18.788221423299447</v>
      </c>
      <c r="T409" s="29">
        <v>18.8043390444418</v>
      </c>
      <c r="U409" s="29">
        <v>-52.028537465646892</v>
      </c>
      <c r="V409" s="29" t="e">
        <v>#N/A</v>
      </c>
      <c r="W409">
        <v>1.4664989993842363</v>
      </c>
      <c r="X409" t="s">
        <v>66</v>
      </c>
      <c r="Y409" t="s">
        <v>84</v>
      </c>
      <c r="Z409" t="s">
        <v>208</v>
      </c>
    </row>
    <row r="410" spans="2:26" x14ac:dyDescent="0.25">
      <c r="B410" t="s">
        <v>1051</v>
      </c>
      <c r="C410" s="26" t="s">
        <v>1052</v>
      </c>
      <c r="D410" s="26" t="e">
        <v>#N/A</v>
      </c>
      <c r="E410" s="26">
        <v>1.3155729130343818</v>
      </c>
      <c r="F410" s="26" t="e">
        <v>#N/A</v>
      </c>
      <c r="G410" s="27">
        <v>1.3155729130343818</v>
      </c>
      <c r="H410" s="28" t="e">
        <v>#N/A</v>
      </c>
      <c r="I410" s="28">
        <v>-1.9587506734593756</v>
      </c>
      <c r="J410" s="26">
        <v>6.9886165106570797</v>
      </c>
      <c r="K410" s="29">
        <v>-0.57082835840381319</v>
      </c>
      <c r="L410" s="26">
        <v>-12.656070733119309</v>
      </c>
      <c r="M410" s="30">
        <v>0.60486518435526104</v>
      </c>
      <c r="N410" s="29" t="e">
        <v>#N/A</v>
      </c>
      <c r="O410" s="31" t="e">
        <v>#N/A</v>
      </c>
      <c r="P410" s="31">
        <v>14339000</v>
      </c>
      <c r="Q410" s="31">
        <v>14339000</v>
      </c>
      <c r="R410" s="29">
        <v>298626112</v>
      </c>
      <c r="S410" s="29">
        <v>3.1189470027893269</v>
      </c>
      <c r="T410" s="29">
        <v>3.1415983884648009</v>
      </c>
      <c r="U410" s="29">
        <v>-1.5989894413520007</v>
      </c>
      <c r="V410" s="29">
        <v>29.849999321831596</v>
      </c>
      <c r="W410">
        <v>1.1653620834008365</v>
      </c>
      <c r="X410" t="s">
        <v>66</v>
      </c>
      <c r="Y410" t="s">
        <v>78</v>
      </c>
      <c r="Z410" t="s">
        <v>121</v>
      </c>
    </row>
    <row r="411" spans="2:26" x14ac:dyDescent="0.25">
      <c r="B411" t="s">
        <v>1053</v>
      </c>
      <c r="C411" s="26" t="s">
        <v>1054</v>
      </c>
      <c r="D411" s="26" t="e">
        <v>#N/A</v>
      </c>
      <c r="E411" s="26">
        <v>0.43373989220110121</v>
      </c>
      <c r="F411" s="26" t="e">
        <v>#N/A</v>
      </c>
      <c r="G411" s="27">
        <v>0.31166247210218906</v>
      </c>
      <c r="H411" s="28">
        <v>40.74183953542677</v>
      </c>
      <c r="I411" s="28" t="e">
        <v>#N/A</v>
      </c>
      <c r="J411" s="26">
        <v>31.086583463338535</v>
      </c>
      <c r="K411" s="29">
        <v>0.54260397412871486</v>
      </c>
      <c r="L411" s="26">
        <v>1.4047047901036311</v>
      </c>
      <c r="M411" s="30">
        <v>0.37131300171149456</v>
      </c>
      <c r="N411" s="29" t="e">
        <v>#N/A</v>
      </c>
      <c r="O411" s="31" t="e">
        <v>#N/A</v>
      </c>
      <c r="P411" s="31">
        <v>756594000.00000012</v>
      </c>
      <c r="Q411" s="31">
        <v>1052950000.0000001</v>
      </c>
      <c r="R411" s="29">
        <v>1185053056</v>
      </c>
      <c r="S411" s="29">
        <v>4.3776078488445034</v>
      </c>
      <c r="T411" s="29">
        <v>5.3162526655798148</v>
      </c>
      <c r="U411" s="29">
        <v>17.563011119731673</v>
      </c>
      <c r="V411" s="29">
        <v>5.5542054933922307</v>
      </c>
      <c r="W411">
        <v>2.3757123793786374</v>
      </c>
      <c r="X411" t="s">
        <v>66</v>
      </c>
      <c r="Y411" t="s">
        <v>84</v>
      </c>
      <c r="Z411" t="s">
        <v>151</v>
      </c>
    </row>
    <row r="412" spans="2:26" x14ac:dyDescent="0.25">
      <c r="B412" t="s">
        <v>1055</v>
      </c>
      <c r="C412" s="26" t="s">
        <v>1056</v>
      </c>
      <c r="D412" s="26" t="e">
        <v>#N/A</v>
      </c>
      <c r="E412" s="26">
        <v>-0.33778429000575738</v>
      </c>
      <c r="F412" s="26" t="e">
        <v>#N/A</v>
      </c>
      <c r="G412" s="27">
        <v>-0.33778429000575738</v>
      </c>
      <c r="H412" s="28">
        <v>-34.115021010631303</v>
      </c>
      <c r="I412" s="28" t="e">
        <v>#N/A</v>
      </c>
      <c r="J412" s="26">
        <v>-28.176254694642743</v>
      </c>
      <c r="K412" s="29">
        <v>-3.8806525428479753E-2</v>
      </c>
      <c r="L412" s="26">
        <v>0.40447796871265101</v>
      </c>
      <c r="M412" s="30">
        <v>0.65485930229031797</v>
      </c>
      <c r="N412" s="29" t="e">
        <v>#N/A</v>
      </c>
      <c r="O412" s="31" t="e">
        <v>#N/A</v>
      </c>
      <c r="P412" s="31">
        <v>643351000</v>
      </c>
      <c r="Q412" s="31">
        <v>643351000</v>
      </c>
      <c r="R412" s="29">
        <v>1482217472</v>
      </c>
      <c r="S412" s="29" t="e">
        <v>#N/A</v>
      </c>
      <c r="T412" s="29" t="e">
        <v>#N/A</v>
      </c>
      <c r="U412" s="29">
        <v>8.1471850306187736</v>
      </c>
      <c r="V412" s="29" t="e">
        <v>#N/A</v>
      </c>
      <c r="W412">
        <v>2.5981808420358439</v>
      </c>
      <c r="X412" t="s">
        <v>71</v>
      </c>
      <c r="Y412" t="s">
        <v>101</v>
      </c>
      <c r="Z412" t="s">
        <v>241</v>
      </c>
    </row>
    <row r="413" spans="2:26" x14ac:dyDescent="0.25">
      <c r="B413" t="s">
        <v>1057</v>
      </c>
      <c r="C413" s="26" t="s">
        <v>1058</v>
      </c>
      <c r="D413" s="26" t="e">
        <v>#N/A</v>
      </c>
      <c r="E413" s="26">
        <v>-1.261506989430617E-2</v>
      </c>
      <c r="F413" s="26" t="e">
        <v>#N/A</v>
      </c>
      <c r="G413" s="27">
        <v>-2.6757304020827307E-3</v>
      </c>
      <c r="H413" s="28">
        <v>-0.53449793045008631</v>
      </c>
      <c r="I413" s="28" t="e">
        <v>#N/A</v>
      </c>
      <c r="J413" s="26">
        <v>28.357410379882289</v>
      </c>
      <c r="K413" s="29">
        <v>-0.21249450065992082</v>
      </c>
      <c r="L413" s="26">
        <v>-1.8226415094339623</v>
      </c>
      <c r="M413" s="30">
        <v>0.95809856874554755</v>
      </c>
      <c r="N413" s="29" t="e">
        <v>#N/A</v>
      </c>
      <c r="O413" s="31" t="e">
        <v>#N/A</v>
      </c>
      <c r="P413" s="31">
        <v>2933000000</v>
      </c>
      <c r="Q413" s="31">
        <v>13828000000</v>
      </c>
      <c r="R413" s="29">
        <v>28995778560</v>
      </c>
      <c r="S413" s="29">
        <v>52.886374641509434</v>
      </c>
      <c r="T413" s="29" t="e">
        <v>#N/A</v>
      </c>
      <c r="U413" s="29">
        <v>1.5002183821340371</v>
      </c>
      <c r="V413" s="29" t="e">
        <v>#N/A</v>
      </c>
      <c r="W413">
        <v>0.12628832370893606</v>
      </c>
      <c r="X413" t="s">
        <v>76</v>
      </c>
      <c r="Y413" t="s">
        <v>162</v>
      </c>
      <c r="Z413" t="s">
        <v>163</v>
      </c>
    </row>
    <row r="414" spans="2:26" x14ac:dyDescent="0.25">
      <c r="B414" t="s">
        <v>1059</v>
      </c>
      <c r="C414" s="26" t="s">
        <v>1060</v>
      </c>
      <c r="D414" s="26" t="e">
        <v>#N/A</v>
      </c>
      <c r="E414" s="26" t="e">
        <v>#N/A</v>
      </c>
      <c r="F414" s="26" t="e">
        <v>#N/A</v>
      </c>
      <c r="G414" s="27">
        <v>0.20154550035861629</v>
      </c>
      <c r="H414" s="28" t="e">
        <v>#N/A</v>
      </c>
      <c r="I414" s="28" t="e">
        <v>#N/A</v>
      </c>
      <c r="J414" s="26">
        <v>122.59202298032437</v>
      </c>
      <c r="K414" s="29" t="e">
        <v>#N/A</v>
      </c>
      <c r="L414" s="26" t="e">
        <v>#N/A</v>
      </c>
      <c r="M414" s="30">
        <v>0.40133716614613241</v>
      </c>
      <c r="N414" s="29" t="e">
        <v>#N/A</v>
      </c>
      <c r="O414" s="31" t="e">
        <v>#N/A</v>
      </c>
      <c r="P414" s="31" t="e">
        <v>#N/A</v>
      </c>
      <c r="Q414" s="31">
        <v>956454000</v>
      </c>
      <c r="R414" s="29">
        <v>259364832</v>
      </c>
      <c r="S414" s="29" t="e">
        <v>#N/A</v>
      </c>
      <c r="T414" s="29" t="e">
        <v>#N/A</v>
      </c>
      <c r="U414" s="29" t="e">
        <v>#N/A</v>
      </c>
      <c r="V414" s="29" t="e">
        <v>#N/A</v>
      </c>
      <c r="W414">
        <v>0.57338853001191581</v>
      </c>
      <c r="X414" t="s">
        <v>66</v>
      </c>
      <c r="Y414" t="s">
        <v>78</v>
      </c>
      <c r="Z414" t="s">
        <v>121</v>
      </c>
    </row>
    <row r="415" spans="2:26" x14ac:dyDescent="0.25">
      <c r="B415" t="s">
        <v>1061</v>
      </c>
      <c r="C415" s="26" t="s">
        <v>1062</v>
      </c>
      <c r="D415" s="26" t="e">
        <v>#N/A</v>
      </c>
      <c r="E415" s="26" t="e">
        <v>#N/A</v>
      </c>
      <c r="F415" s="26" t="e">
        <v>#N/A</v>
      </c>
      <c r="G415" s="27">
        <v>0.20382251773094068</v>
      </c>
      <c r="H415" s="28" t="e">
        <v>#N/A</v>
      </c>
      <c r="I415" s="28" t="e">
        <v>#N/A</v>
      </c>
      <c r="J415" s="26">
        <v>78.938502429469906</v>
      </c>
      <c r="K415" s="29" t="e">
        <v>#N/A</v>
      </c>
      <c r="L415" s="26">
        <v>3.778858359022323</v>
      </c>
      <c r="M415" s="30">
        <v>0.21696560171840495</v>
      </c>
      <c r="N415" s="29" t="e">
        <v>#N/A</v>
      </c>
      <c r="O415" s="31" t="e">
        <v>#N/A</v>
      </c>
      <c r="P415" s="31" t="e">
        <v>#N/A</v>
      </c>
      <c r="Q415" s="31">
        <v>798321999.99999988</v>
      </c>
      <c r="R415" s="29">
        <v>1174212608</v>
      </c>
      <c r="S415" s="29">
        <v>9.3821405434295038</v>
      </c>
      <c r="T415" s="29">
        <v>11.697282326483503</v>
      </c>
      <c r="U415" s="29">
        <v>4.1182490862847212</v>
      </c>
      <c r="V415" s="29" t="e">
        <v>#N/A</v>
      </c>
      <c r="W415">
        <v>3.4257025814173891</v>
      </c>
      <c r="X415" t="s">
        <v>81</v>
      </c>
      <c r="Y415" t="s">
        <v>87</v>
      </c>
      <c r="Z415" t="s">
        <v>88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AD520-8D52-4B88-A861-BB45B8660DAF}">
  <dimension ref="A1"/>
  <sheetViews>
    <sheetView workbookViewId="0">
      <selection activeCell="E15" sqref="E15"/>
    </sheetView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9:M49"/>
  <sheetViews>
    <sheetView topLeftCell="A28" workbookViewId="0">
      <selection activeCell="G36" sqref="G36"/>
    </sheetView>
  </sheetViews>
  <sheetFormatPr baseColWidth="10" defaultRowHeight="15" x14ac:dyDescent="0.25"/>
  <sheetData>
    <row r="9" spans="2:13" x14ac:dyDescent="0.25">
      <c r="C9" t="s">
        <v>24</v>
      </c>
    </row>
    <row r="10" spans="2:13" x14ac:dyDescent="0.25">
      <c r="E10" t="s">
        <v>25</v>
      </c>
    </row>
    <row r="11" spans="2:13" s="33" customFormat="1" x14ac:dyDescent="0.25">
      <c r="B11" s="33" t="s">
        <v>134</v>
      </c>
      <c r="C11" s="33" t="str">
        <f>_xll.BDP(B11,$C$9)</f>
        <v>#N/A Connection</v>
      </c>
      <c r="E11" s="33" t="str">
        <f>"CNTRY_OF_DOMICILE=='"&amp;C11&amp;"'"</f>
        <v>CNTRY_OF_DOMICILE=='#N/A Connection'</v>
      </c>
      <c r="H11" s="33" t="str">
        <f>E11&amp;" OR "&amp;E12</f>
        <v>CNTRY_OF_DOMICILE=='#N/A Connection' OR CNTRY_OF_DOMICILE=='#N/A Connection'</v>
      </c>
    </row>
    <row r="12" spans="2:13" s="33" customFormat="1" x14ac:dyDescent="0.25">
      <c r="B12" s="33" t="s">
        <v>135</v>
      </c>
      <c r="C12" s="33" t="str">
        <f>_xll.BDP(B12,$C$9)</f>
        <v>#N/A Connection</v>
      </c>
      <c r="E12" s="33" t="str">
        <f t="shared" ref="E12:E29" si="0">"CNTRY_OF_DOMICILE=='"&amp;C12&amp;"'"</f>
        <v>CNTRY_OF_DOMICILE=='#N/A Connection'</v>
      </c>
      <c r="H12" s="33" t="str">
        <f>H11&amp;" OR "&amp;E13</f>
        <v>CNTRY_OF_DOMICILE=='#N/A Connection' OR CNTRY_OF_DOMICILE=='#N/A Connection' OR CNTRY_OF_DOMICILE=='#N/A Connection'</v>
      </c>
    </row>
    <row r="13" spans="2:13" s="33" customFormat="1" x14ac:dyDescent="0.25">
      <c r="B13" s="33" t="s">
        <v>26</v>
      </c>
      <c r="C13" s="33" t="str">
        <f>_xll.BDP(B13,$C$9)</f>
        <v>#N/A Connection</v>
      </c>
      <c r="E13" s="33" t="str">
        <f t="shared" si="0"/>
        <v>CNTRY_OF_DOMICILE=='#N/A Connection'</v>
      </c>
      <c r="H13" s="33" t="str">
        <f t="shared" ref="H13:H28" si="1">H12&amp;" OR "&amp;E14</f>
        <v>CNTRY_OF_DOMICILE=='#N/A Connection' OR CNTRY_OF_DOMICILE=='#N/A Connection' OR CNTRY_OF_DOMICILE=='#N/A Connection' OR CNTRY_OF_DOMICILE=='#N/A Connection'</v>
      </c>
    </row>
    <row r="14" spans="2:13" s="33" customFormat="1" x14ac:dyDescent="0.25">
      <c r="B14" s="33" t="s">
        <v>27</v>
      </c>
      <c r="C14" s="33" t="str">
        <f>_xll.BDP(B14,$C$9)</f>
        <v>#N/A Connection</v>
      </c>
      <c r="E14" s="33" t="str">
        <f t="shared" si="0"/>
        <v>CNTRY_OF_DOMICILE=='#N/A Connection'</v>
      </c>
      <c r="H14" s="33" t="str">
        <f t="shared" si="1"/>
        <v>CNTRY_OF_DOMICILE=='#N/A Connection' OR CNTRY_OF_DOMICILE=='#N/A Connection' OR CNTRY_OF_DOMICILE=='#N/A Connection' OR CNTRY_OF_DOMICILE=='#N/A Connection' OR CNTRY_OF_DOMICILE=='#N/A Connection'</v>
      </c>
    </row>
    <row r="15" spans="2:13" s="33" customFormat="1" x14ac:dyDescent="0.25">
      <c r="B15" s="33" t="s">
        <v>136</v>
      </c>
      <c r="C15" s="33" t="str">
        <f>_xll.BDP(B15,$C$9)</f>
        <v>#N/A Connection</v>
      </c>
      <c r="E15" s="33" t="str">
        <f t="shared" si="0"/>
        <v>CNTRY_OF_DOMICILE=='#N/A Connection'</v>
      </c>
      <c r="F15" s="58"/>
      <c r="H15" s="33" t="str">
        <f t="shared" si="1"/>
        <v>CNTRY_OF_DOMICILE=='#N/A Connection' OR CNTRY_OF_DOMICILE=='#N/A Connection' OR CNTRY_OF_DOMICILE=='#N/A Connection' OR CNTRY_OF_DOMICILE=='#N/A Connection' OR CNTRY_OF_DOMICILE=='#N/A Connection' OR CNTRY_OF_DOMICILE=='#N/A Connection'</v>
      </c>
      <c r="M15" s="58"/>
    </row>
    <row r="16" spans="2:13" s="33" customFormat="1" x14ac:dyDescent="0.25">
      <c r="B16" s="33" t="s">
        <v>137</v>
      </c>
      <c r="C16" s="33" t="str">
        <f>_xll.BDP(B16,$C$9)</f>
        <v>#N/A Connection</v>
      </c>
      <c r="E16" s="33" t="str">
        <f t="shared" si="0"/>
        <v>CNTRY_OF_DOMICILE=='#N/A Connection'</v>
      </c>
      <c r="H16" s="33" t="str">
        <f t="shared" si="1"/>
        <v>CNTRY_OF_DOMICILE=='#N/A Connection' OR CNTRY_OF_DOMICILE=='#N/A Connection' OR CNTRY_OF_DOMICILE=='#N/A Connection' OR CNTRY_OF_DOMICILE=='#N/A Connection' OR CNTRY_OF_DOMICILE=='#N/A Connection' OR CNTRY_OF_DOMICILE=='#N/A Connection' OR CNTRY_OF_DOMICILE=='#N/A Connection'</v>
      </c>
    </row>
    <row r="17" spans="2:13" s="33" customFormat="1" x14ac:dyDescent="0.25">
      <c r="B17" s="33" t="s">
        <v>138</v>
      </c>
      <c r="C17" s="33" t="str">
        <f>_xll.BDP(B17,$C$9)</f>
        <v>#N/A Connection</v>
      </c>
      <c r="E17" s="33" t="str">
        <f t="shared" si="0"/>
        <v>CNTRY_OF_DOMICILE=='#N/A Connection'</v>
      </c>
      <c r="H17" s="33" t="str">
        <f t="shared" si="1"/>
        <v>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</v>
      </c>
    </row>
    <row r="18" spans="2:13" s="33" customFormat="1" x14ac:dyDescent="0.25">
      <c r="B18" s="33" t="s">
        <v>139</v>
      </c>
      <c r="C18" s="33" t="str">
        <f>_xll.BDP(B18,$C$9)</f>
        <v>#N/A Connection</v>
      </c>
      <c r="E18" s="33" t="str">
        <f t="shared" si="0"/>
        <v>CNTRY_OF_DOMICILE=='#N/A Connection'</v>
      </c>
      <c r="H18" s="33" t="str">
        <f t="shared" si="1"/>
        <v>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</v>
      </c>
    </row>
    <row r="19" spans="2:13" s="33" customFormat="1" x14ac:dyDescent="0.25">
      <c r="B19" s="33" t="s">
        <v>140</v>
      </c>
      <c r="C19" s="33" t="str">
        <f>_xll.BDP(B19,$C$9)</f>
        <v>#N/A Connection</v>
      </c>
      <c r="E19" s="33" t="str">
        <f t="shared" si="0"/>
        <v>CNTRY_OF_DOMICILE=='#N/A Connection'</v>
      </c>
      <c r="H19" s="33" t="str">
        <f t="shared" si="1"/>
        <v>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</v>
      </c>
    </row>
    <row r="20" spans="2:13" s="33" customFormat="1" x14ac:dyDescent="0.25">
      <c r="B20" s="33" t="s">
        <v>141</v>
      </c>
      <c r="C20" s="33" t="str">
        <f>_xll.BDP(B20,$C$9)</f>
        <v>#N/A Connection</v>
      </c>
      <c r="E20" s="33" t="str">
        <f t="shared" si="0"/>
        <v>CNTRY_OF_DOMICILE=='#N/A Connection'</v>
      </c>
      <c r="H20" s="33" t="str">
        <f t="shared" si="1"/>
        <v>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</v>
      </c>
    </row>
    <row r="21" spans="2:13" s="33" customFormat="1" x14ac:dyDescent="0.25">
      <c r="B21" s="33" t="s">
        <v>28</v>
      </c>
      <c r="C21" s="33" t="str">
        <f>_xll.BDP(B21,$C$9)</f>
        <v>#N/A Connection</v>
      </c>
      <c r="E21" s="33" t="str">
        <f t="shared" si="0"/>
        <v>CNTRY_OF_DOMICILE=='#N/A Connection'</v>
      </c>
      <c r="H21" s="33" t="str">
        <f t="shared" si="1"/>
        <v>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</v>
      </c>
    </row>
    <row r="22" spans="2:13" s="33" customFormat="1" x14ac:dyDescent="0.25">
      <c r="B22" s="33" t="s">
        <v>29</v>
      </c>
      <c r="C22" s="33" t="str">
        <f>_xll.BDP(B22,$C$9)</f>
        <v>#N/A Connection</v>
      </c>
      <c r="E22" s="33" t="str">
        <f t="shared" si="0"/>
        <v>CNTRY_OF_DOMICILE=='#N/A Connection'</v>
      </c>
      <c r="F22" s="58"/>
      <c r="H22" s="33" t="str">
        <f t="shared" si="1"/>
        <v>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</v>
      </c>
      <c r="M22" s="58"/>
    </row>
    <row r="23" spans="2:13" s="33" customFormat="1" x14ac:dyDescent="0.25">
      <c r="B23" s="33" t="s">
        <v>30</v>
      </c>
      <c r="C23" s="33" t="str">
        <f>_xll.BDP(B23,$C$9)</f>
        <v>#N/A Connection</v>
      </c>
      <c r="E23" s="33" t="str">
        <f t="shared" si="0"/>
        <v>CNTRY_OF_DOMICILE=='#N/A Connection'</v>
      </c>
      <c r="H23" s="33" t="str">
        <f t="shared" si="1"/>
        <v>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</v>
      </c>
    </row>
    <row r="24" spans="2:13" s="33" customFormat="1" x14ac:dyDescent="0.25">
      <c r="B24" s="33" t="s">
        <v>31</v>
      </c>
      <c r="C24" s="33" t="str">
        <f>_xll.BDP(B24,$C$9)</f>
        <v>#N/A Connection</v>
      </c>
      <c r="E24" s="33" t="str">
        <f t="shared" si="0"/>
        <v>CNTRY_OF_DOMICILE=='#N/A Connection'</v>
      </c>
      <c r="H24" s="33" t="str">
        <f t="shared" si="1"/>
        <v>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</v>
      </c>
    </row>
    <row r="25" spans="2:13" s="33" customFormat="1" x14ac:dyDescent="0.25">
      <c r="B25" s="33" t="s">
        <v>142</v>
      </c>
      <c r="C25" s="33" t="str">
        <f>_xll.BDP(B25,$C$9)</f>
        <v>#N/A Connection</v>
      </c>
      <c r="E25" s="33" t="str">
        <f t="shared" si="0"/>
        <v>CNTRY_OF_DOMICILE=='#N/A Connection'</v>
      </c>
      <c r="H25" s="33" t="str">
        <f t="shared" si="1"/>
        <v>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</v>
      </c>
    </row>
    <row r="26" spans="2:13" s="33" customFormat="1" x14ac:dyDescent="0.25">
      <c r="B26" s="33" t="s">
        <v>143</v>
      </c>
      <c r="C26" s="33" t="str">
        <f>_xll.BDP(B26,$C$9)</f>
        <v>#N/A Connection</v>
      </c>
      <c r="E26" s="33" t="str">
        <f t="shared" si="0"/>
        <v>CNTRY_OF_DOMICILE=='#N/A Connection'</v>
      </c>
      <c r="H26" s="33" t="str">
        <f t="shared" si="1"/>
        <v>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</v>
      </c>
    </row>
    <row r="27" spans="2:13" s="33" customFormat="1" x14ac:dyDescent="0.25">
      <c r="B27" s="33" t="s">
        <v>32</v>
      </c>
      <c r="C27" s="33" t="str">
        <f>_xll.BDP(B27,$C$9)</f>
        <v>#N/A Connection</v>
      </c>
      <c r="E27" s="33" t="str">
        <f t="shared" si="0"/>
        <v>CNTRY_OF_DOMICILE=='#N/A Connection'</v>
      </c>
      <c r="H27" s="33" t="str">
        <f t="shared" si="1"/>
        <v>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</v>
      </c>
    </row>
    <row r="28" spans="2:13" s="33" customFormat="1" x14ac:dyDescent="0.25">
      <c r="B28" s="33" t="s">
        <v>33</v>
      </c>
      <c r="C28" s="33" t="str">
        <f>_xll.BDP(B28,$C$9)</f>
        <v>#N/A Connection</v>
      </c>
      <c r="E28" s="33" t="str">
        <f t="shared" si="0"/>
        <v>CNTRY_OF_DOMICILE=='#N/A Connection'</v>
      </c>
      <c r="H28" s="33" t="str">
        <f t="shared" si="1"/>
        <v>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</v>
      </c>
    </row>
    <row r="29" spans="2:13" s="33" customFormat="1" x14ac:dyDescent="0.25">
      <c r="B29" s="33" t="s">
        <v>144</v>
      </c>
      <c r="C29" s="33" t="str">
        <f>_xll.BDP(B29,$C$9)</f>
        <v>#N/A Connection</v>
      </c>
      <c r="E29" s="33" t="str">
        <f t="shared" si="0"/>
        <v>CNTRY_OF_DOMICILE=='#N/A Connection'</v>
      </c>
    </row>
    <row r="32" spans="2:13" x14ac:dyDescent="0.25">
      <c r="H32" t="str">
        <f>"("&amp;H28&amp;")"</f>
        <v>(CNTRY_OF_DOMICILE=='#N/A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Connection')</v>
      </c>
    </row>
    <row r="34" spans="3:8" x14ac:dyDescent="0.25">
      <c r="H34" s="59" t="str">
        <f>"FOR(filter(equitiesuniv(['active','primary']),"&amp;H32&amp;" AND CUR_MKT_CAP &gt;1.0B))with(mode=cached)"</f>
        <v>FOR(filter(equitiesuniv(['active','primary']),(CNTRY_OF_DOMICILE=='#N/A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 OR CNTRY_OF_DOMICILE=='#N/A Connection') AND CUR_MKT_CAP &gt;1.0B))with(mode=cached)</v>
      </c>
    </row>
    <row r="35" spans="3:8" x14ac:dyDescent="0.25">
      <c r="H35" t="str">
        <f>"FOR(filter(equitiesuniv(['active','primary']),(CNTRY_OF_DOMICILE=='US' OR CNTRY_OF_DOMICILE=='CA')"&amp;H33&amp;" AND CUR_MKT_CAP &gt;2.0B))with(mode=cached)"</f>
        <v>FOR(filter(equitiesuniv(['active','primary']),(CNTRY_OF_DOMICILE=='US' OR CNTRY_OF_DOMICILE=='CA') AND CUR_MKT_CAP &gt;2.0B))with(mode=cached)</v>
      </c>
    </row>
    <row r="37" spans="3:8" x14ac:dyDescent="0.25">
      <c r="H37" s="33" t="s">
        <v>35</v>
      </c>
    </row>
    <row r="39" spans="3:8" x14ac:dyDescent="0.25">
      <c r="H39" t="s">
        <v>34</v>
      </c>
    </row>
    <row r="43" spans="3:8" x14ac:dyDescent="0.25">
      <c r="C43" t="s">
        <v>39</v>
      </c>
    </row>
    <row r="44" spans="3:8" x14ac:dyDescent="0.25">
      <c r="C44" s="34" t="str">
        <f>Generador!C5</f>
        <v>IL</v>
      </c>
    </row>
    <row r="45" spans="3:8" x14ac:dyDescent="0.25">
      <c r="C45" t="s">
        <v>40</v>
      </c>
    </row>
    <row r="46" spans="3:8" x14ac:dyDescent="0.25">
      <c r="C46" s="36">
        <f>Generador!C6</f>
        <v>0.2</v>
      </c>
    </row>
    <row r="47" spans="3:8" x14ac:dyDescent="0.25">
      <c r="C47" t="s">
        <v>43</v>
      </c>
    </row>
    <row r="49" spans="3:3" x14ac:dyDescent="0.25">
      <c r="C49" s="35" t="str">
        <f>C43&amp;C44&amp;C45&amp;C46&amp;C47</f>
        <v>FOR(filter(equitiesuniv(['active','primary']),(CNTRY_OF_DOMICILE=='IL') AND CUR_MKT_CAP &gt;0.2B))with(mode=cached)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filterMode="1"/>
  <dimension ref="A1:AD3798"/>
  <sheetViews>
    <sheetView tabSelected="1" topLeftCell="A2" zoomScaleNormal="100" workbookViewId="0">
      <pane xSplit="6" ySplit="2" topLeftCell="G4" activePane="bottomRight" state="frozen"/>
      <selection activeCell="A2" sqref="A2"/>
      <selection pane="topRight" activeCell="D2" sqref="D2"/>
      <selection pane="bottomLeft" activeCell="A3" sqref="A3"/>
      <selection pane="bottomRight" activeCell="F27" sqref="F27"/>
    </sheetView>
  </sheetViews>
  <sheetFormatPr baseColWidth="10" defaultRowHeight="15" x14ac:dyDescent="0.25"/>
  <cols>
    <col min="2" max="2" width="11.42578125" style="28"/>
    <col min="5" max="5" width="20" style="1" bestFit="1" customWidth="1"/>
    <col min="6" max="6" width="36" style="1" customWidth="1"/>
    <col min="7" max="9" width="11.42578125" style="41"/>
    <col min="10" max="10" width="12" style="41" bestFit="1" customWidth="1"/>
    <col min="11" max="11" width="11.42578125" style="42"/>
    <col min="12" max="13" width="11.42578125" style="28"/>
    <col min="14" max="14" width="11.42578125" style="41"/>
    <col min="15" max="15" width="11.42578125" style="29"/>
    <col min="16" max="16" width="11.42578125" style="41"/>
    <col min="17" max="17" width="11.42578125" style="43"/>
    <col min="18" max="18" width="11.42578125" style="29"/>
    <col min="19" max="19" width="17.7109375" style="44" bestFit="1" customWidth="1"/>
    <col min="20" max="20" width="19" style="44" customWidth="1"/>
    <col min="21" max="21" width="20.28515625" style="44" bestFit="1" customWidth="1"/>
    <col min="22" max="26" width="11.42578125" style="29"/>
    <col min="27" max="27" width="22" bestFit="1" customWidth="1"/>
    <col min="28" max="28" width="25.42578125" bestFit="1" customWidth="1"/>
    <col min="29" max="29" width="25.7109375" bestFit="1" customWidth="1"/>
  </cols>
  <sheetData>
    <row r="1" spans="2:30" ht="15.75" hidden="1" thickBot="1" x14ac:dyDescent="0.3"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</row>
    <row r="2" spans="2:30" ht="15.75" thickBot="1" x14ac:dyDescent="0.3"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</row>
    <row r="3" spans="2:30" s="63" customFormat="1" ht="60.75" thickBot="1" x14ac:dyDescent="0.3">
      <c r="B3" s="62" t="s">
        <v>1064</v>
      </c>
      <c r="C3" s="63" t="s">
        <v>1064</v>
      </c>
      <c r="D3" s="63" t="s">
        <v>1064</v>
      </c>
      <c r="E3" s="45" t="s">
        <v>38</v>
      </c>
      <c r="F3" s="45" t="s">
        <v>122</v>
      </c>
      <c r="G3" s="46" t="s">
        <v>1</v>
      </c>
      <c r="H3" s="47" t="s">
        <v>2</v>
      </c>
      <c r="I3" s="47" t="s">
        <v>3</v>
      </c>
      <c r="J3" s="47" t="s">
        <v>4</v>
      </c>
      <c r="K3" s="48" t="s">
        <v>5</v>
      </c>
      <c r="L3" s="64" t="s">
        <v>6</v>
      </c>
      <c r="M3" s="64" t="s">
        <v>7</v>
      </c>
      <c r="N3" s="47" t="s">
        <v>8</v>
      </c>
      <c r="O3" s="65" t="s">
        <v>9</v>
      </c>
      <c r="P3" s="47" t="s">
        <v>10</v>
      </c>
      <c r="Q3" s="47" t="s">
        <v>11</v>
      </c>
      <c r="R3" s="49" t="s">
        <v>12</v>
      </c>
      <c r="S3" s="50" t="s">
        <v>13</v>
      </c>
      <c r="T3" s="50" t="s">
        <v>14</v>
      </c>
      <c r="U3" s="50" t="s">
        <v>15</v>
      </c>
      <c r="V3" s="65" t="s">
        <v>16</v>
      </c>
      <c r="W3" s="65" t="s">
        <v>17</v>
      </c>
      <c r="X3" s="65" t="s">
        <v>18</v>
      </c>
      <c r="Y3" s="65" t="s">
        <v>19</v>
      </c>
      <c r="Z3" s="65" t="s">
        <v>20</v>
      </c>
      <c r="AA3" s="66" t="s">
        <v>21</v>
      </c>
      <c r="AB3" s="66" t="s">
        <v>22</v>
      </c>
      <c r="AC3" s="66" t="s">
        <v>23</v>
      </c>
      <c r="AD3" s="66"/>
    </row>
    <row r="4" spans="2:30" hidden="1" x14ac:dyDescent="0.25">
      <c r="B4" s="28" t="s">
        <v>1064</v>
      </c>
      <c r="C4" t="s">
        <v>1064</v>
      </c>
      <c r="D4" t="s">
        <v>1064</v>
      </c>
      <c r="E4" s="1" t="s">
        <v>268</v>
      </c>
      <c r="F4" s="1" t="s">
        <v>269</v>
      </c>
      <c r="G4" s="41" t="e">
        <v>#N/A</v>
      </c>
      <c r="H4" s="41" t="e">
        <v>#N/A</v>
      </c>
      <c r="I4" s="41" t="e">
        <v>#N/A</v>
      </c>
      <c r="J4" s="41" t="e">
        <v>#N/A</v>
      </c>
      <c r="K4" s="42">
        <v>20.794869303274709</v>
      </c>
      <c r="L4" s="28" t="e">
        <v>#N/A</v>
      </c>
      <c r="M4" s="28" t="e">
        <v>#N/A</v>
      </c>
      <c r="N4" s="41">
        <v>-0.23932720302095645</v>
      </c>
      <c r="O4" s="29" t="e">
        <v>#N/A</v>
      </c>
      <c r="P4" s="41">
        <v>5.6819874224714025E-2</v>
      </c>
      <c r="Q4" s="43" t="e">
        <v>#N/A</v>
      </c>
      <c r="R4" s="29">
        <v>20.759221247074926</v>
      </c>
      <c r="S4" s="44">
        <v>-36537000000</v>
      </c>
      <c r="T4" s="44">
        <v>-36534000000</v>
      </c>
      <c r="U4" s="44">
        <v>5718510592</v>
      </c>
      <c r="V4" s="29" t="e">
        <v>#N/A</v>
      </c>
      <c r="W4" s="29" t="e">
        <v>#N/A</v>
      </c>
      <c r="X4" s="29" t="e">
        <v>#N/A</v>
      </c>
      <c r="Y4" s="29">
        <v>5.4913969944219723</v>
      </c>
      <c r="Z4" s="29">
        <v>1.0705866764275258</v>
      </c>
      <c r="AA4" t="s">
        <v>66</v>
      </c>
      <c r="AB4" t="s">
        <v>67</v>
      </c>
      <c r="AC4" t="s">
        <v>68</v>
      </c>
    </row>
    <row r="5" spans="2:30" hidden="1" x14ac:dyDescent="0.25">
      <c r="E5" s="1" t="s">
        <v>306</v>
      </c>
      <c r="F5" s="1" t="s">
        <v>307</v>
      </c>
      <c r="G5" s="41" t="e">
        <v>#N/A</v>
      </c>
      <c r="H5" s="41" t="e">
        <v>#N/A</v>
      </c>
      <c r="I5" s="41" t="e">
        <v>#N/A</v>
      </c>
      <c r="J5" s="41" t="e">
        <v>#N/A</v>
      </c>
      <c r="K5" s="42">
        <v>14.042849535045676</v>
      </c>
      <c r="L5" s="28" t="e">
        <v>#N/A</v>
      </c>
      <c r="M5" s="28" t="e">
        <v>#N/A</v>
      </c>
      <c r="N5" s="41">
        <v>1.4983374063539136E-2</v>
      </c>
      <c r="O5" s="29" t="e">
        <v>#N/A</v>
      </c>
      <c r="P5" s="41">
        <v>6.5852730259204365E-2</v>
      </c>
      <c r="Q5" s="43" t="e">
        <v>#N/A</v>
      </c>
      <c r="R5" s="29">
        <v>18.601040686212777</v>
      </c>
      <c r="S5" s="44">
        <v>916400000.00000012</v>
      </c>
      <c r="T5" s="44">
        <v>916400000.00000012</v>
      </c>
      <c r="U5" s="44">
        <v>972439680</v>
      </c>
      <c r="V5" s="29" t="e">
        <v>#N/A</v>
      </c>
      <c r="W5" s="29" t="e">
        <v>#N/A</v>
      </c>
      <c r="X5" s="29" t="e">
        <v>#N/A</v>
      </c>
      <c r="Y5" s="29">
        <v>5.6477732793522266</v>
      </c>
      <c r="Z5" s="29">
        <v>0.77051967807629063</v>
      </c>
      <c r="AA5" t="s">
        <v>66</v>
      </c>
      <c r="AB5" t="s">
        <v>67</v>
      </c>
      <c r="AC5" t="s">
        <v>68</v>
      </c>
    </row>
    <row r="6" spans="2:30" hidden="1" x14ac:dyDescent="0.25">
      <c r="E6" s="1" t="s">
        <v>344</v>
      </c>
      <c r="F6" s="1" t="s">
        <v>345</v>
      </c>
      <c r="G6" s="41" t="e">
        <v>#N/A</v>
      </c>
      <c r="H6" s="41" t="e">
        <v>#N/A</v>
      </c>
      <c r="I6" s="41" t="e">
        <v>#N/A</v>
      </c>
      <c r="J6" s="41" t="e">
        <v>#N/A</v>
      </c>
      <c r="K6" s="42">
        <v>15.95784478243675</v>
      </c>
      <c r="L6" s="28" t="e">
        <v>#N/A</v>
      </c>
      <c r="M6" s="28" t="e">
        <v>#N/A</v>
      </c>
      <c r="N6" s="41">
        <v>-7.3500562214407039E-2</v>
      </c>
      <c r="O6" s="29" t="e">
        <v>#N/A</v>
      </c>
      <c r="P6" s="41">
        <v>7.3780174166846096E-2</v>
      </c>
      <c r="Q6" s="43" t="e">
        <v>#N/A</v>
      </c>
      <c r="R6" s="29">
        <v>21.053894547991781</v>
      </c>
      <c r="S6" s="44">
        <v>-37773000000</v>
      </c>
      <c r="T6" s="44">
        <v>-37773000000</v>
      </c>
      <c r="U6" s="44">
        <v>42391371776</v>
      </c>
      <c r="V6" s="29" t="e">
        <v>#N/A</v>
      </c>
      <c r="W6" s="29" t="e">
        <v>#N/A</v>
      </c>
      <c r="X6" s="29" t="e">
        <v>#N/A</v>
      </c>
      <c r="Y6" s="29">
        <v>5.730050933786079</v>
      </c>
      <c r="Z6" s="29">
        <v>0.87078746576952704</v>
      </c>
      <c r="AA6" t="s">
        <v>66</v>
      </c>
      <c r="AB6" t="s">
        <v>67</v>
      </c>
      <c r="AC6" t="s">
        <v>68</v>
      </c>
    </row>
    <row r="7" spans="2:30" hidden="1" x14ac:dyDescent="0.25">
      <c r="E7" s="1" t="s">
        <v>360</v>
      </c>
      <c r="F7" s="1" t="s">
        <v>361</v>
      </c>
      <c r="G7" s="41" t="e">
        <v>#N/A</v>
      </c>
      <c r="H7" s="41" t="e">
        <v>#N/A</v>
      </c>
      <c r="I7" s="41" t="e">
        <v>#N/A</v>
      </c>
      <c r="J7" s="41" t="e">
        <v>#N/A</v>
      </c>
      <c r="K7" s="42">
        <v>16.980160772977467</v>
      </c>
      <c r="L7" s="28" t="e">
        <v>#N/A</v>
      </c>
      <c r="M7" s="28" t="e">
        <v>#N/A</v>
      </c>
      <c r="N7" s="41">
        <v>-4.1631239898583694E-2</v>
      </c>
      <c r="O7" s="29" t="e">
        <v>#N/A</v>
      </c>
      <c r="P7" s="41">
        <v>7.0650689738779776E-2</v>
      </c>
      <c r="Q7" s="43" t="e">
        <v>#N/A</v>
      </c>
      <c r="R7" s="29">
        <v>20.017431179072542</v>
      </c>
      <c r="S7" s="44">
        <v>-8570000000</v>
      </c>
      <c r="T7" s="44">
        <v>-8408000000</v>
      </c>
      <c r="U7" s="44">
        <v>23985649664</v>
      </c>
      <c r="V7" s="29" t="e">
        <v>#N/A</v>
      </c>
      <c r="W7" s="29" t="e">
        <v>#N/A</v>
      </c>
      <c r="X7" s="29" t="e">
        <v>#N/A</v>
      </c>
      <c r="Y7" s="29">
        <v>6.0026053861676125</v>
      </c>
      <c r="Z7" s="29">
        <v>0.90385716005330174</v>
      </c>
      <c r="AA7" t="s">
        <v>66</v>
      </c>
      <c r="AB7" t="s">
        <v>67</v>
      </c>
      <c r="AC7" t="s">
        <v>68</v>
      </c>
    </row>
    <row r="8" spans="2:30" hidden="1" x14ac:dyDescent="0.25">
      <c r="E8" s="1" t="s">
        <v>399</v>
      </c>
      <c r="F8" s="1" t="s">
        <v>400</v>
      </c>
      <c r="G8" s="41" t="e">
        <v>#N/A</v>
      </c>
      <c r="H8" s="41" t="e">
        <v>#N/A</v>
      </c>
      <c r="I8" s="41" t="e">
        <v>#N/A</v>
      </c>
      <c r="J8" s="41" t="e">
        <v>#N/A</v>
      </c>
      <c r="K8" s="42">
        <v>15.262417662474325</v>
      </c>
      <c r="L8" s="28" t="e">
        <v>#N/A</v>
      </c>
      <c r="M8" s="28" t="e">
        <v>#N/A</v>
      </c>
      <c r="N8" s="41">
        <v>-8.090621483074352E-2</v>
      </c>
      <c r="O8" s="29" t="e">
        <v>#N/A</v>
      </c>
      <c r="P8" s="41">
        <v>7.5381047292231135E-2</v>
      </c>
      <c r="Q8" s="43" t="e">
        <v>#N/A</v>
      </c>
      <c r="R8" s="29">
        <v>19.526765416309608</v>
      </c>
      <c r="S8" s="44">
        <v>-86097000000</v>
      </c>
      <c r="T8" s="44">
        <v>-86097000000</v>
      </c>
      <c r="U8" s="44">
        <v>45842235392</v>
      </c>
      <c r="V8" s="29" t="e">
        <v>#N/A</v>
      </c>
      <c r="W8" s="29" t="e">
        <v>#N/A</v>
      </c>
      <c r="X8" s="29" t="e">
        <v>#N/A</v>
      </c>
      <c r="Y8" s="29">
        <v>6.2971474972392034</v>
      </c>
      <c r="Z8" s="29">
        <v>0.90835462160282787</v>
      </c>
      <c r="AA8" t="s">
        <v>66</v>
      </c>
      <c r="AB8" t="s">
        <v>67</v>
      </c>
      <c r="AC8" t="s">
        <v>68</v>
      </c>
    </row>
    <row r="9" spans="2:30" hidden="1" x14ac:dyDescent="0.25">
      <c r="E9" s="1" t="s">
        <v>465</v>
      </c>
      <c r="F9" s="1" t="s">
        <v>466</v>
      </c>
      <c r="G9" s="41" t="e">
        <v>#N/A</v>
      </c>
      <c r="H9" s="41" t="e">
        <v>#N/A</v>
      </c>
      <c r="I9" s="41" t="e">
        <v>#N/A</v>
      </c>
      <c r="J9" s="41" t="e">
        <v>#N/A</v>
      </c>
      <c r="K9" s="42">
        <v>20.967069612338474</v>
      </c>
      <c r="L9" s="28" t="e">
        <v>#N/A</v>
      </c>
      <c r="M9" s="28" t="e">
        <v>#N/A</v>
      </c>
      <c r="N9" s="41">
        <v>-9.4000675016528659E-2</v>
      </c>
      <c r="O9" s="29" t="e">
        <v>#N/A</v>
      </c>
      <c r="P9" s="41">
        <v>6.2372608741871227E-2</v>
      </c>
      <c r="Q9" s="43" t="e">
        <v>#N/A</v>
      </c>
      <c r="R9" s="29">
        <v>25.456719203289982</v>
      </c>
      <c r="S9" s="44">
        <v>-28196000000</v>
      </c>
      <c r="T9" s="44">
        <v>-28056000000</v>
      </c>
      <c r="U9" s="44">
        <v>32353802240</v>
      </c>
      <c r="V9" s="29" t="e">
        <v>#N/A</v>
      </c>
      <c r="W9" s="29" t="e">
        <v>#N/A</v>
      </c>
      <c r="X9" s="29" t="e">
        <v>#N/A</v>
      </c>
      <c r="Y9" s="29">
        <v>6.5513108834216816</v>
      </c>
      <c r="Z9" s="29">
        <v>1.2721960726737429</v>
      </c>
      <c r="AA9" t="s">
        <v>66</v>
      </c>
      <c r="AB9" t="s">
        <v>67</v>
      </c>
      <c r="AC9" t="s">
        <v>68</v>
      </c>
    </row>
    <row r="10" spans="2:30" hidden="1" x14ac:dyDescent="0.25">
      <c r="E10" s="1" t="s">
        <v>469</v>
      </c>
      <c r="F10" s="1" t="s">
        <v>470</v>
      </c>
      <c r="G10" s="41" t="e">
        <v>#N/A</v>
      </c>
      <c r="H10" s="41" t="e">
        <v>#N/A</v>
      </c>
      <c r="I10" s="41" t="e">
        <v>#N/A</v>
      </c>
      <c r="J10" s="41" t="e">
        <v>#N/A</v>
      </c>
      <c r="K10" s="42">
        <v>15.098441527867031</v>
      </c>
      <c r="L10" s="28" t="e">
        <v>#N/A</v>
      </c>
      <c r="M10" s="28" t="e">
        <v>#N/A</v>
      </c>
      <c r="N10" s="41">
        <v>2.4816195170672614E-2</v>
      </c>
      <c r="O10" s="29" t="e">
        <v>#N/A</v>
      </c>
      <c r="P10" s="41">
        <v>5.807085349677206E-2</v>
      </c>
      <c r="Q10" s="43" t="e">
        <v>#N/A</v>
      </c>
      <c r="R10" s="29">
        <v>9.8933260973152102</v>
      </c>
      <c r="S10" s="44">
        <v>964276000.00000012</v>
      </c>
      <c r="T10" s="44">
        <v>964276000.00000012</v>
      </c>
      <c r="U10" s="44">
        <v>448461120</v>
      </c>
      <c r="V10" s="29" t="e">
        <v>#N/A</v>
      </c>
      <c r="W10" s="29" t="e">
        <v>#N/A</v>
      </c>
      <c r="X10" s="29" t="e">
        <v>#N/A</v>
      </c>
      <c r="Y10" s="29">
        <v>3.3776588215787324</v>
      </c>
      <c r="Z10" s="29">
        <v>0.4795500185192641</v>
      </c>
      <c r="AA10" t="s">
        <v>66</v>
      </c>
      <c r="AB10" t="s">
        <v>110</v>
      </c>
      <c r="AC10" t="s">
        <v>110</v>
      </c>
    </row>
    <row r="11" spans="2:30" hidden="1" x14ac:dyDescent="0.25">
      <c r="E11" s="1" t="s">
        <v>583</v>
      </c>
      <c r="F11" s="1" t="s">
        <v>584</v>
      </c>
      <c r="G11" s="41" t="e">
        <v>#N/A</v>
      </c>
      <c r="H11" s="41" t="e">
        <v>#N/A</v>
      </c>
      <c r="I11" s="41" t="e">
        <v>#N/A</v>
      </c>
      <c r="J11" s="41" t="e">
        <v>#N/A</v>
      </c>
      <c r="K11" s="42">
        <v>20.888784387491182</v>
      </c>
      <c r="L11" s="28" t="e">
        <v>#N/A</v>
      </c>
      <c r="M11" s="28" t="e">
        <v>#N/A</v>
      </c>
      <c r="N11" s="41">
        <v>-0.2392687262768462</v>
      </c>
      <c r="O11" s="29" t="e">
        <v>#N/A</v>
      </c>
      <c r="P11" s="41">
        <v>5.6777014366021235E-2</v>
      </c>
      <c r="Q11" s="43" t="e">
        <v>#N/A</v>
      </c>
      <c r="R11" s="29">
        <v>20.703866040039728</v>
      </c>
      <c r="S11" s="44">
        <v>-36537000000</v>
      </c>
      <c r="T11" s="44">
        <v>-36537000000</v>
      </c>
      <c r="U11" s="44">
        <v>15500991488</v>
      </c>
      <c r="V11" s="29" t="e">
        <v>#N/A</v>
      </c>
      <c r="W11" s="29" t="e">
        <v>#N/A</v>
      </c>
      <c r="X11" s="29" t="e">
        <v>#N/A</v>
      </c>
      <c r="Y11" s="29">
        <v>7.0189701897018972</v>
      </c>
      <c r="Z11" s="29">
        <v>1.3807375324123272</v>
      </c>
      <c r="AA11" t="s">
        <v>66</v>
      </c>
      <c r="AB11" t="s">
        <v>67</v>
      </c>
      <c r="AC11" t="s">
        <v>68</v>
      </c>
    </row>
    <row r="12" spans="2:30" hidden="1" x14ac:dyDescent="0.25">
      <c r="E12" s="1" t="s">
        <v>663</v>
      </c>
      <c r="F12" s="1" t="s">
        <v>664</v>
      </c>
      <c r="G12" s="41" t="e">
        <v>#N/A</v>
      </c>
      <c r="H12" s="41" t="e">
        <v>#N/A</v>
      </c>
      <c r="I12" s="41" t="e">
        <v>#N/A</v>
      </c>
      <c r="J12" s="41">
        <v>3.0255302268883032E-2</v>
      </c>
      <c r="K12" s="42" t="e">
        <v>#N/A</v>
      </c>
      <c r="L12" s="28" t="e">
        <v>#N/A</v>
      </c>
      <c r="M12" s="28">
        <v>7.957162254770509</v>
      </c>
      <c r="N12" s="41" t="e">
        <v>#N/A</v>
      </c>
      <c r="O12" s="29" t="e">
        <v>#N/A</v>
      </c>
      <c r="P12" s="41">
        <v>0.30370333430541296</v>
      </c>
      <c r="Q12" s="43" t="e">
        <v>#N/A</v>
      </c>
      <c r="R12" s="29" t="e">
        <v>#N/A</v>
      </c>
      <c r="S12" s="44" t="e">
        <v>#N/A</v>
      </c>
      <c r="T12" s="44">
        <v>1794892000</v>
      </c>
      <c r="U12" s="44">
        <v>1296013312</v>
      </c>
      <c r="V12" s="29" t="e">
        <v>#N/A</v>
      </c>
      <c r="W12" s="29" t="e">
        <v>#N/A</v>
      </c>
      <c r="X12" s="29" t="e">
        <v>#N/A</v>
      </c>
      <c r="Y12" s="29" t="e">
        <v>#N/A</v>
      </c>
      <c r="Z12" s="29">
        <v>1.2068927837755146</v>
      </c>
      <c r="AA12" t="s">
        <v>66</v>
      </c>
      <c r="AB12" t="s">
        <v>78</v>
      </c>
      <c r="AC12" t="s">
        <v>121</v>
      </c>
    </row>
    <row r="13" spans="2:30" hidden="1" x14ac:dyDescent="0.25">
      <c r="E13" s="1" t="s">
        <v>667</v>
      </c>
      <c r="F13" s="1" t="s">
        <v>668</v>
      </c>
      <c r="G13" s="41" t="e">
        <v>#N/A</v>
      </c>
      <c r="H13" s="41" t="e">
        <v>#N/A</v>
      </c>
      <c r="I13" s="41" t="e">
        <v>#N/A</v>
      </c>
      <c r="J13" s="41" t="e">
        <v>#N/A</v>
      </c>
      <c r="K13" s="42" t="e">
        <v>#N/A</v>
      </c>
      <c r="L13" s="28" t="e">
        <v>#N/A</v>
      </c>
      <c r="M13" s="28" t="e">
        <v>#N/A</v>
      </c>
      <c r="N13" s="41" t="e">
        <v>#N/A</v>
      </c>
      <c r="O13" s="29" t="e">
        <v>#N/A</v>
      </c>
      <c r="P13" s="41" t="e">
        <v>#N/A</v>
      </c>
      <c r="Q13" s="43" t="e">
        <v>#N/A</v>
      </c>
      <c r="R13" s="29" t="e">
        <v>#N/A</v>
      </c>
      <c r="S13" s="44" t="e">
        <v>#N/A</v>
      </c>
      <c r="T13" s="44" t="e">
        <v>#N/A</v>
      </c>
      <c r="U13" s="44">
        <v>1254378880</v>
      </c>
      <c r="V13" s="29" t="e">
        <v>#N/A</v>
      </c>
      <c r="W13" s="29" t="e">
        <v>#N/A</v>
      </c>
      <c r="X13" s="29" t="e">
        <v>#N/A</v>
      </c>
      <c r="Y13" s="29" t="e">
        <v>#N/A</v>
      </c>
      <c r="Z13" s="29" t="e">
        <v>#N/A</v>
      </c>
      <c r="AA13" t="s">
        <v>69</v>
      </c>
      <c r="AB13" t="s">
        <v>159</v>
      </c>
      <c r="AC13" t="s">
        <v>669</v>
      </c>
    </row>
    <row r="14" spans="2:30" hidden="1" x14ac:dyDescent="0.25">
      <c r="E14" s="1" t="s">
        <v>680</v>
      </c>
      <c r="F14" s="1" t="s">
        <v>681</v>
      </c>
      <c r="G14" s="41" t="e">
        <v>#N/A</v>
      </c>
      <c r="H14" s="41" t="e">
        <v>#N/A</v>
      </c>
      <c r="I14" s="41" t="e">
        <v>#N/A</v>
      </c>
      <c r="J14" s="41" t="e">
        <v>#N/A</v>
      </c>
      <c r="K14" s="42" t="e">
        <v>#N/A</v>
      </c>
      <c r="L14" s="28" t="e">
        <v>#N/A</v>
      </c>
      <c r="M14" s="28" t="e">
        <v>#N/A</v>
      </c>
      <c r="N14" s="41" t="e">
        <v>#N/A</v>
      </c>
      <c r="O14" s="29" t="e">
        <v>#N/A</v>
      </c>
      <c r="P14" s="41" t="e">
        <v>#N/A</v>
      </c>
      <c r="Q14" s="43" t="e">
        <v>#N/A</v>
      </c>
      <c r="R14" s="29" t="e">
        <v>#N/A</v>
      </c>
      <c r="S14" s="44" t="e">
        <v>#N/A</v>
      </c>
      <c r="T14" s="44" t="e">
        <v>#N/A</v>
      </c>
      <c r="U14" s="44">
        <v>2865843200</v>
      </c>
      <c r="V14" s="29" t="e">
        <v>#N/A</v>
      </c>
      <c r="W14" s="29" t="e">
        <v>#N/A</v>
      </c>
      <c r="X14" s="29" t="e">
        <v>#N/A</v>
      </c>
      <c r="Y14" s="29" t="e">
        <v>#N/A</v>
      </c>
      <c r="Z14" s="29" t="e">
        <v>#N/A</v>
      </c>
      <c r="AA14" t="s">
        <v>77</v>
      </c>
      <c r="AB14" t="s">
        <v>90</v>
      </c>
      <c r="AC14" t="s">
        <v>105</v>
      </c>
    </row>
    <row r="15" spans="2:30" hidden="1" x14ac:dyDescent="0.25">
      <c r="E15" s="1" t="s">
        <v>1028</v>
      </c>
      <c r="F15" s="1" t="s">
        <v>1029</v>
      </c>
      <c r="G15" s="41" t="e">
        <v>#N/A</v>
      </c>
      <c r="H15" s="41" t="e">
        <v>#N/A</v>
      </c>
      <c r="I15" s="41" t="e">
        <v>#N/A</v>
      </c>
      <c r="J15" s="41" t="e">
        <v>#N/A</v>
      </c>
      <c r="K15" s="42" t="e">
        <v>#N/A</v>
      </c>
      <c r="L15" s="28" t="e">
        <v>#N/A</v>
      </c>
      <c r="M15" s="28" t="e">
        <v>#N/A</v>
      </c>
      <c r="N15" s="41" t="e">
        <v>#N/A</v>
      </c>
      <c r="O15" s="29" t="e">
        <v>#N/A</v>
      </c>
      <c r="P15" s="41" t="e">
        <v>#N/A</v>
      </c>
      <c r="Q15" s="43" t="e">
        <v>#N/A</v>
      </c>
      <c r="R15" s="29" t="e">
        <v>#N/A</v>
      </c>
      <c r="S15" s="44" t="e">
        <v>#N/A</v>
      </c>
      <c r="T15" s="44" t="e">
        <v>#N/A</v>
      </c>
      <c r="U15" s="44">
        <v>257662960</v>
      </c>
      <c r="V15" s="29" t="e">
        <v>#N/A</v>
      </c>
      <c r="W15" s="29" t="e">
        <v>#N/A</v>
      </c>
      <c r="X15" s="29">
        <v>-11.621837699849486</v>
      </c>
      <c r="Y15" s="29" t="e">
        <v>#N/A</v>
      </c>
      <c r="Z15" s="29" t="e">
        <v>#N/A</v>
      </c>
      <c r="AA15" t="s">
        <v>91</v>
      </c>
      <c r="AB15" t="s">
        <v>216</v>
      </c>
      <c r="AC15" t="s">
        <v>222</v>
      </c>
    </row>
    <row r="16" spans="2:30" hidden="1" x14ac:dyDescent="0.25">
      <c r="E16" s="1" t="s">
        <v>1038</v>
      </c>
      <c r="F16" s="1" t="s">
        <v>1039</v>
      </c>
      <c r="G16" s="41" t="e">
        <v>#N/A</v>
      </c>
      <c r="H16" s="41" t="e">
        <v>#N/A</v>
      </c>
      <c r="I16" s="41" t="e">
        <v>#N/A</v>
      </c>
      <c r="J16" s="41">
        <v>6.0130611574321279E-2</v>
      </c>
      <c r="K16" s="42">
        <v>6.374010401139488</v>
      </c>
      <c r="L16" s="28" t="e">
        <v>#N/A</v>
      </c>
      <c r="M16" s="28">
        <v>6.4753361929051723</v>
      </c>
      <c r="N16" s="41" t="e">
        <v>#N/A</v>
      </c>
      <c r="O16" s="29">
        <v>2.6719257021371807</v>
      </c>
      <c r="P16" s="41">
        <v>0.38146025805948625</v>
      </c>
      <c r="Q16" s="43">
        <v>1.1942031286435104E-2</v>
      </c>
      <c r="R16" s="29" t="e">
        <v>#N/A</v>
      </c>
      <c r="S16" s="44" t="e">
        <v>#N/A</v>
      </c>
      <c r="T16" s="44">
        <v>243469999.99999997</v>
      </c>
      <c r="U16" s="44">
        <v>608675648</v>
      </c>
      <c r="V16" s="29">
        <v>36.725615307150044</v>
      </c>
      <c r="W16" s="29">
        <v>44.838363934426226</v>
      </c>
      <c r="X16" s="29">
        <v>-12.161156807114448</v>
      </c>
      <c r="Y16" s="29">
        <v>77.672129146388315</v>
      </c>
      <c r="Z16" s="29">
        <v>3.1008954204352257</v>
      </c>
      <c r="AA16" t="s">
        <v>66</v>
      </c>
      <c r="AB16" t="s">
        <v>84</v>
      </c>
      <c r="AC16" t="s">
        <v>151</v>
      </c>
    </row>
    <row r="17" spans="1:29" hidden="1" x14ac:dyDescent="0.25">
      <c r="E17" s="1" t="s">
        <v>1046</v>
      </c>
      <c r="F17" s="1" t="s">
        <v>1047</v>
      </c>
      <c r="G17" s="41" t="e">
        <v>#N/A</v>
      </c>
      <c r="H17" s="41" t="e">
        <v>#N/A</v>
      </c>
      <c r="I17" s="41" t="e">
        <v>#N/A</v>
      </c>
      <c r="J17" s="41" t="e">
        <v>#N/A</v>
      </c>
      <c r="K17" s="42" t="e">
        <v>#N/A</v>
      </c>
      <c r="L17" s="28" t="e">
        <v>#N/A</v>
      </c>
      <c r="M17" s="28" t="e">
        <v>#N/A</v>
      </c>
      <c r="N17" s="41" t="e">
        <v>#N/A</v>
      </c>
      <c r="O17" s="29" t="e">
        <v>#N/A</v>
      </c>
      <c r="P17" s="41" t="e">
        <v>#N/A</v>
      </c>
      <c r="Q17" s="43" t="e">
        <v>#N/A</v>
      </c>
      <c r="R17" s="29" t="e">
        <v>#N/A</v>
      </c>
      <c r="S17" s="44" t="e">
        <v>#N/A</v>
      </c>
      <c r="T17" s="44" t="e">
        <v>#N/A</v>
      </c>
      <c r="U17" s="44">
        <v>232400000</v>
      </c>
      <c r="V17" s="29" t="e">
        <v>#N/A</v>
      </c>
      <c r="W17" s="29" t="e">
        <v>#N/A</v>
      </c>
      <c r="X17" s="29" t="e">
        <v>#N/A</v>
      </c>
      <c r="Y17" s="29" t="e">
        <v>#N/A</v>
      </c>
      <c r="Z17" s="29" t="e">
        <v>#N/A</v>
      </c>
      <c r="AA17" t="s">
        <v>73</v>
      </c>
      <c r="AB17" t="s">
        <v>203</v>
      </c>
      <c r="AC17" t="s">
        <v>1048</v>
      </c>
    </row>
    <row r="18" spans="1:29" hidden="1" x14ac:dyDescent="0.25">
      <c r="E18" s="1" t="s">
        <v>1059</v>
      </c>
      <c r="F18" s="1" t="s">
        <v>1060</v>
      </c>
      <c r="G18" s="41" t="e">
        <v>#N/A</v>
      </c>
      <c r="H18" s="41" t="e">
        <v>#N/A</v>
      </c>
      <c r="I18" s="41" t="e">
        <v>#N/A</v>
      </c>
      <c r="J18" s="41">
        <v>0.20154550035861629</v>
      </c>
      <c r="K18" s="42" t="e">
        <v>#N/A</v>
      </c>
      <c r="L18" s="28" t="e">
        <v>#N/A</v>
      </c>
      <c r="M18" s="28">
        <v>122.59202298032437</v>
      </c>
      <c r="N18" s="41" t="e">
        <v>#N/A</v>
      </c>
      <c r="O18" s="29" t="e">
        <v>#N/A</v>
      </c>
      <c r="P18" s="41">
        <v>0.40133716614613241</v>
      </c>
      <c r="Q18" s="43" t="e">
        <v>#N/A</v>
      </c>
      <c r="R18" s="29" t="e">
        <v>#N/A</v>
      </c>
      <c r="S18" s="44" t="e">
        <v>#N/A</v>
      </c>
      <c r="T18" s="44">
        <v>956454000</v>
      </c>
      <c r="U18" s="44">
        <v>259364832</v>
      </c>
      <c r="V18" s="29" t="e">
        <v>#N/A</v>
      </c>
      <c r="W18" s="29" t="e">
        <v>#N/A</v>
      </c>
      <c r="X18" s="29" t="e">
        <v>#N/A</v>
      </c>
      <c r="Y18" s="29" t="e">
        <v>#N/A</v>
      </c>
      <c r="Z18" s="29">
        <v>0.57338853001191581</v>
      </c>
      <c r="AA18" t="s">
        <v>66</v>
      </c>
      <c r="AB18" t="s">
        <v>78</v>
      </c>
      <c r="AC18" t="s">
        <v>121</v>
      </c>
    </row>
    <row r="19" spans="1:29" hidden="1" x14ac:dyDescent="0.25">
      <c r="E19" s="1" t="s">
        <v>1061</v>
      </c>
      <c r="F19" s="1" t="s">
        <v>1062</v>
      </c>
      <c r="G19" s="41" t="e">
        <v>#N/A</v>
      </c>
      <c r="H19" s="41" t="e">
        <v>#N/A</v>
      </c>
      <c r="I19" s="41" t="e">
        <v>#N/A</v>
      </c>
      <c r="J19" s="41">
        <v>0.20382251773094068</v>
      </c>
      <c r="K19" s="42" t="e">
        <v>#N/A</v>
      </c>
      <c r="L19" s="28" t="e">
        <v>#N/A</v>
      </c>
      <c r="M19" s="28">
        <v>78.938502429469906</v>
      </c>
      <c r="N19" s="41" t="e">
        <v>#N/A</v>
      </c>
      <c r="O19" s="29">
        <v>3.778858359022323</v>
      </c>
      <c r="P19" s="41">
        <v>0.21696560171840495</v>
      </c>
      <c r="Q19" s="43" t="e">
        <v>#N/A</v>
      </c>
      <c r="R19" s="29" t="e">
        <v>#N/A</v>
      </c>
      <c r="S19" s="44" t="e">
        <v>#N/A</v>
      </c>
      <c r="T19" s="44">
        <v>798321999.99999988</v>
      </c>
      <c r="U19" s="44">
        <v>1174212608</v>
      </c>
      <c r="V19" s="29">
        <v>9.3821405434295038</v>
      </c>
      <c r="W19" s="29">
        <v>11.697282326483503</v>
      </c>
      <c r="X19" s="29">
        <v>4.1182490862847212</v>
      </c>
      <c r="Y19" s="29" t="e">
        <v>#N/A</v>
      </c>
      <c r="Z19" s="29">
        <v>3.4257025814173891</v>
      </c>
      <c r="AA19" t="s">
        <v>81</v>
      </c>
      <c r="AB19" t="s">
        <v>87</v>
      </c>
      <c r="AC19" t="s">
        <v>88</v>
      </c>
    </row>
    <row r="20" spans="1:29" s="33" customFormat="1" x14ac:dyDescent="0.25">
      <c r="A20" s="33">
        <v>11</v>
      </c>
      <c r="B20" s="54"/>
      <c r="E20" s="51" t="s">
        <v>811</v>
      </c>
      <c r="F20" s="51" t="s">
        <v>812</v>
      </c>
      <c r="G20" s="52">
        <v>11.927630707769227</v>
      </c>
      <c r="H20" s="52">
        <v>45.888357256778306</v>
      </c>
      <c r="I20" s="52">
        <v>39.581243567051956</v>
      </c>
      <c r="J20" s="52">
        <v>-0.75699852662597344</v>
      </c>
      <c r="K20" s="53">
        <v>-6.186078913823259</v>
      </c>
      <c r="L20" s="54">
        <v>-19.946699611408139</v>
      </c>
      <c r="M20" s="54">
        <v>-14.166513519441791</v>
      </c>
      <c r="N20" s="52">
        <v>-0.25126097306532463</v>
      </c>
      <c r="O20" s="55">
        <v>12.119242800129438</v>
      </c>
      <c r="P20" s="52">
        <v>0.31077716677010225</v>
      </c>
      <c r="Q20" s="56" t="e">
        <v>#N/A</v>
      </c>
      <c r="R20" s="55">
        <v>42.473870758648886</v>
      </c>
      <c r="S20" s="57">
        <v>-1254000</v>
      </c>
      <c r="T20" s="57">
        <v>76016000</v>
      </c>
      <c r="U20" s="57">
        <v>1073822464</v>
      </c>
      <c r="V20" s="55" t="e">
        <v>#N/A</v>
      </c>
      <c r="W20" s="55" t="e">
        <v>#N/A</v>
      </c>
      <c r="X20" s="55">
        <v>4.3291141281246279</v>
      </c>
      <c r="Y20" s="55" t="e">
        <v>#N/A</v>
      </c>
      <c r="Z20" s="55">
        <v>3.5561655467500337</v>
      </c>
      <c r="AA20" s="33" t="s">
        <v>71</v>
      </c>
      <c r="AB20" s="33" t="s">
        <v>101</v>
      </c>
      <c r="AC20" s="33" t="s">
        <v>115</v>
      </c>
    </row>
    <row r="21" spans="1:29" s="33" customFormat="1" x14ac:dyDescent="0.25">
      <c r="A21" s="33">
        <v>14</v>
      </c>
      <c r="B21" s="54"/>
      <c r="E21" s="51" t="s">
        <v>852</v>
      </c>
      <c r="F21" s="51" t="s">
        <v>853</v>
      </c>
      <c r="G21" s="52">
        <v>5.6278974316923689</v>
      </c>
      <c r="H21" s="52">
        <v>16.227350987947855</v>
      </c>
      <c r="I21" s="52">
        <v>5.6278974316923689</v>
      </c>
      <c r="J21" s="52">
        <v>16.227350987947855</v>
      </c>
      <c r="K21" s="53">
        <v>25.654503553044361</v>
      </c>
      <c r="L21" s="54">
        <v>39.580866052338557</v>
      </c>
      <c r="M21" s="54">
        <v>44.077874220454312</v>
      </c>
      <c r="N21" s="52">
        <v>-1.0009171194070847</v>
      </c>
      <c r="O21" s="55">
        <v>-3.0194508812583387</v>
      </c>
      <c r="P21" s="52">
        <v>0.8606614743121217</v>
      </c>
      <c r="Q21" s="56" t="e">
        <v>#N/A</v>
      </c>
      <c r="R21" s="55">
        <v>45.533209937192794</v>
      </c>
      <c r="S21" s="57">
        <v>12197000</v>
      </c>
      <c r="T21" s="57">
        <v>12197000</v>
      </c>
      <c r="U21" s="57">
        <v>3139633920</v>
      </c>
      <c r="V21" s="55">
        <v>11.678177656063479</v>
      </c>
      <c r="W21" s="55">
        <v>11.722536512014017</v>
      </c>
      <c r="X21" s="55">
        <v>6.2045768699046286</v>
      </c>
      <c r="Y21" s="55">
        <v>17.65534743518586</v>
      </c>
      <c r="Z21" s="55">
        <v>4.7296620775969958</v>
      </c>
      <c r="AA21" s="33" t="s">
        <v>73</v>
      </c>
      <c r="AB21" s="33" t="s">
        <v>203</v>
      </c>
      <c r="AC21" s="33" t="s">
        <v>204</v>
      </c>
    </row>
    <row r="22" spans="1:29" hidden="1" x14ac:dyDescent="0.25">
      <c r="E22" s="1" t="s">
        <v>603</v>
      </c>
      <c r="F22" s="1" t="s">
        <v>604</v>
      </c>
      <c r="G22" s="41">
        <v>40.249877615540285</v>
      </c>
      <c r="H22" s="41">
        <v>5.1661914460285132</v>
      </c>
      <c r="I22" s="41">
        <v>40.249877615540285</v>
      </c>
      <c r="J22" s="41">
        <v>5.1661914460285132</v>
      </c>
      <c r="K22" s="42">
        <v>-27.36323643941148</v>
      </c>
      <c r="L22" s="28">
        <v>-22.051264533912978</v>
      </c>
      <c r="M22" s="28">
        <v>-41.023659712256688</v>
      </c>
      <c r="N22" s="41">
        <v>-0.73318480260603913</v>
      </c>
      <c r="O22" s="29">
        <v>3.3963252541047693</v>
      </c>
      <c r="P22" s="41">
        <v>0.69801002582409233</v>
      </c>
      <c r="Q22" s="43" t="e">
        <v>#N/A</v>
      </c>
      <c r="R22" s="29">
        <v>14.719317416587922</v>
      </c>
      <c r="S22" s="44">
        <v>-2455000</v>
      </c>
      <c r="T22" s="44">
        <v>-2455000</v>
      </c>
      <c r="U22" s="44">
        <v>222486656</v>
      </c>
      <c r="V22" s="29" t="e">
        <v>#N/A</v>
      </c>
      <c r="W22" s="29" t="e">
        <v>#N/A</v>
      </c>
      <c r="X22" s="29">
        <v>-14.49808482173523</v>
      </c>
      <c r="Y22" s="29" t="e">
        <v>#N/A</v>
      </c>
      <c r="Z22" s="29">
        <v>1.4142172023011574</v>
      </c>
      <c r="AA22" t="s">
        <v>73</v>
      </c>
      <c r="AB22" t="s">
        <v>203</v>
      </c>
      <c r="AC22" t="s">
        <v>204</v>
      </c>
    </row>
    <row r="23" spans="1:29" hidden="1" x14ac:dyDescent="0.25">
      <c r="E23" s="1" t="s">
        <v>1001</v>
      </c>
      <c r="F23" s="1" t="s">
        <v>1002</v>
      </c>
      <c r="G23" s="41" t="e">
        <v>#N/A</v>
      </c>
      <c r="H23" s="41">
        <v>4.0445580289907594</v>
      </c>
      <c r="I23" s="41" t="e">
        <v>#N/A</v>
      </c>
      <c r="J23" s="41">
        <v>4.0445580289907594</v>
      </c>
      <c r="K23" s="42">
        <v>22.45292920238294</v>
      </c>
      <c r="L23" s="28" t="e">
        <v>#N/A</v>
      </c>
      <c r="M23" s="28">
        <v>51.57971515221314</v>
      </c>
      <c r="N23" s="41">
        <v>-0.82607172059338863</v>
      </c>
      <c r="O23" s="29">
        <v>-5.9802544565367626</v>
      </c>
      <c r="P23" s="41">
        <v>0.93069345481446875</v>
      </c>
      <c r="Q23" s="43">
        <v>4.9006773436889944E-2</v>
      </c>
      <c r="R23" s="29" t="e">
        <v>#N/A</v>
      </c>
      <c r="S23" s="44">
        <v>10676342.599999994</v>
      </c>
      <c r="T23" s="44">
        <v>10676342.599999994</v>
      </c>
      <c r="U23" s="44">
        <v>1815490048</v>
      </c>
      <c r="V23" s="29">
        <v>76.314352342029096</v>
      </c>
      <c r="W23" s="29">
        <v>81.815889600548246</v>
      </c>
      <c r="X23" s="29">
        <v>0.65332368919942285</v>
      </c>
      <c r="Y23" s="29">
        <v>94.57557520099968</v>
      </c>
      <c r="Z23" s="29">
        <v>12.057345186226126</v>
      </c>
      <c r="AA23" t="s">
        <v>77</v>
      </c>
      <c r="AB23" t="s">
        <v>83</v>
      </c>
      <c r="AC23" t="s">
        <v>240</v>
      </c>
    </row>
    <row r="24" spans="1:29" hidden="1" x14ac:dyDescent="0.25">
      <c r="E24" s="1" t="s">
        <v>997</v>
      </c>
      <c r="F24" s="1" t="s">
        <v>998</v>
      </c>
      <c r="G24" s="41" t="e">
        <v>#N/A</v>
      </c>
      <c r="H24" s="41">
        <v>3.8515580129523772</v>
      </c>
      <c r="I24" s="41" t="e">
        <v>#N/A</v>
      </c>
      <c r="J24" s="41">
        <v>-5.3513151726422166</v>
      </c>
      <c r="K24" s="42">
        <v>-76.180160738376145</v>
      </c>
      <c r="L24" s="28" t="e">
        <v>#N/A</v>
      </c>
      <c r="M24" s="28">
        <v>-64.983062624858846</v>
      </c>
      <c r="N24" s="41">
        <v>-0.44231478068558788</v>
      </c>
      <c r="O24" s="29">
        <v>0.71580108579911572</v>
      </c>
      <c r="P24" s="41">
        <v>0.47960176231618701</v>
      </c>
      <c r="Q24" s="43" t="e">
        <v>#N/A</v>
      </c>
      <c r="R24" s="29" t="e">
        <v>#N/A</v>
      </c>
      <c r="S24" s="44">
        <v>-28200464.599999979</v>
      </c>
      <c r="T24" s="44">
        <v>20297015.200000018</v>
      </c>
      <c r="U24" s="44">
        <v>236318496</v>
      </c>
      <c r="V24" s="29" t="e">
        <v>#N/A</v>
      </c>
      <c r="W24" s="29" t="e">
        <v>#N/A</v>
      </c>
      <c r="X24" s="29">
        <v>-29.856656234729897</v>
      </c>
      <c r="Y24" s="29" t="e">
        <v>#N/A</v>
      </c>
      <c r="Z24" s="29">
        <v>2.9700298034709758</v>
      </c>
      <c r="AA24" t="s">
        <v>91</v>
      </c>
      <c r="AB24" t="s">
        <v>94</v>
      </c>
      <c r="AC24" t="s">
        <v>212</v>
      </c>
    </row>
    <row r="25" spans="1:29" hidden="1" x14ac:dyDescent="0.25">
      <c r="E25" s="1" t="s">
        <v>983</v>
      </c>
      <c r="F25" s="1" t="s">
        <v>984</v>
      </c>
      <c r="G25" s="41" t="e">
        <v>#N/A</v>
      </c>
      <c r="H25" s="41">
        <v>3.1167640883037233</v>
      </c>
      <c r="I25" s="41" t="e">
        <v>#N/A</v>
      </c>
      <c r="J25" s="41">
        <v>3.2534877521400376</v>
      </c>
      <c r="K25" s="42">
        <v>-34.320394824596505</v>
      </c>
      <c r="L25" s="28" t="e">
        <v>#N/A</v>
      </c>
      <c r="M25" s="28">
        <v>-41.616531840036572</v>
      </c>
      <c r="N25" s="41">
        <v>-0.66711364020508213</v>
      </c>
      <c r="O25" s="29">
        <v>2.9031609505408831</v>
      </c>
      <c r="P25" s="41">
        <v>0.58906214201964935</v>
      </c>
      <c r="Q25" s="43" t="e">
        <v>#N/A</v>
      </c>
      <c r="R25" s="29" t="e">
        <v>#N/A</v>
      </c>
      <c r="S25" s="44">
        <v>-35242000.00000006</v>
      </c>
      <c r="T25" s="44">
        <v>-33761000.00000006</v>
      </c>
      <c r="U25" s="44">
        <v>878054848</v>
      </c>
      <c r="V25" s="29" t="e">
        <v>#N/A</v>
      </c>
      <c r="W25" s="29" t="e">
        <v>#N/A</v>
      </c>
      <c r="X25" s="29">
        <v>-5.6573914617233569</v>
      </c>
      <c r="Y25" s="29" t="e">
        <v>#N/A</v>
      </c>
      <c r="Z25" s="29">
        <v>3.3081205483251632</v>
      </c>
      <c r="AA25" t="s">
        <v>91</v>
      </c>
      <c r="AB25" t="s">
        <v>94</v>
      </c>
      <c r="AC25" t="s">
        <v>212</v>
      </c>
    </row>
    <row r="26" spans="1:29" s="33" customFormat="1" x14ac:dyDescent="0.25">
      <c r="A26" s="33">
        <v>14</v>
      </c>
      <c r="B26" s="54"/>
      <c r="E26" s="51" t="s">
        <v>696</v>
      </c>
      <c r="F26" s="51" t="s">
        <v>697</v>
      </c>
      <c r="G26" s="52">
        <v>0.41395643122537679</v>
      </c>
      <c r="H26" s="52">
        <v>2.9485622502546422</v>
      </c>
      <c r="I26" s="52">
        <v>0.7777073585893457</v>
      </c>
      <c r="J26" s="52">
        <v>-1.4730548297761989</v>
      </c>
      <c r="K26" s="53">
        <v>-17.11963777103751</v>
      </c>
      <c r="L26" s="54">
        <v>1.6864965669261962</v>
      </c>
      <c r="M26" s="54">
        <v>-21.4302614456406</v>
      </c>
      <c r="N26" s="52">
        <v>-0.38800796444062335</v>
      </c>
      <c r="O26" s="55">
        <v>4.7059522085445318</v>
      </c>
      <c r="P26" s="52">
        <v>0.37845875638474424</v>
      </c>
      <c r="Q26" s="56" t="e">
        <v>#N/A</v>
      </c>
      <c r="R26" s="55">
        <v>17.791103730832805</v>
      </c>
      <c r="S26" s="57">
        <v>-51052000</v>
      </c>
      <c r="T26" s="57">
        <v>102189000</v>
      </c>
      <c r="U26" s="57">
        <v>7004419072</v>
      </c>
      <c r="V26" s="55" t="e">
        <v>#N/A</v>
      </c>
      <c r="W26" s="55" t="e">
        <v>#N/A</v>
      </c>
      <c r="X26" s="55">
        <v>0.31482982062213194</v>
      </c>
      <c r="Y26" s="55" t="e">
        <v>#N/A</v>
      </c>
      <c r="Z26" s="55">
        <v>10.123558438747033</v>
      </c>
      <c r="AA26" s="33" t="s">
        <v>91</v>
      </c>
      <c r="AB26" s="33" t="s">
        <v>92</v>
      </c>
      <c r="AC26" s="33" t="s">
        <v>233</v>
      </c>
    </row>
    <row r="27" spans="1:29" s="33" customFormat="1" x14ac:dyDescent="0.25">
      <c r="A27" s="33">
        <v>14</v>
      </c>
      <c r="B27" s="54"/>
      <c r="E27" s="51" t="s">
        <v>531</v>
      </c>
      <c r="F27" s="51" t="s">
        <v>532</v>
      </c>
      <c r="G27" s="52">
        <v>1.0609764082402238</v>
      </c>
      <c r="H27" s="52">
        <v>1.8631679680457127</v>
      </c>
      <c r="I27" s="52">
        <v>0.3684924359322293</v>
      </c>
      <c r="J27" s="52">
        <v>0.65711532535377304</v>
      </c>
      <c r="K27" s="53">
        <v>53.239123766408227</v>
      </c>
      <c r="L27" s="54">
        <v>27.31290008282317</v>
      </c>
      <c r="M27" s="54">
        <v>35.091791322261564</v>
      </c>
      <c r="N27" s="52">
        <v>-0.15866580728327423</v>
      </c>
      <c r="O27" s="55">
        <v>-0.2306204182963674</v>
      </c>
      <c r="P27" s="52">
        <v>0.65837714682395765</v>
      </c>
      <c r="Q27" s="56" t="e">
        <v>#N/A</v>
      </c>
      <c r="R27" s="55">
        <v>14.246028438557579</v>
      </c>
      <c r="S27" s="57">
        <v>72102999.999999985</v>
      </c>
      <c r="T27" s="57">
        <v>204439000</v>
      </c>
      <c r="U27" s="57">
        <v>1727357184</v>
      </c>
      <c r="V27" s="55">
        <v>8.019754006136262</v>
      </c>
      <c r="W27" s="55">
        <v>8.7789050783493305</v>
      </c>
      <c r="X27" s="55">
        <v>6.9859899919807207</v>
      </c>
      <c r="Y27" s="55">
        <v>13.818914223450296</v>
      </c>
      <c r="Z27" s="55">
        <v>6.6343912701533618</v>
      </c>
      <c r="AA27" s="33" t="s">
        <v>76</v>
      </c>
      <c r="AB27" s="33" t="s">
        <v>82</v>
      </c>
      <c r="AC27" s="33" t="s">
        <v>223</v>
      </c>
    </row>
    <row r="28" spans="1:29" s="33" customFormat="1" x14ac:dyDescent="0.25">
      <c r="A28" s="33">
        <v>11</v>
      </c>
      <c r="B28" s="54"/>
      <c r="E28" s="51" t="s">
        <v>931</v>
      </c>
      <c r="F28" s="51" t="s">
        <v>932</v>
      </c>
      <c r="G28" s="52">
        <v>4.4615509171011443</v>
      </c>
      <c r="H28" s="52">
        <v>1.8602107446783407</v>
      </c>
      <c r="I28" s="52">
        <v>0.1211190208066993</v>
      </c>
      <c r="J28" s="52">
        <v>-0.38393647766306316</v>
      </c>
      <c r="K28" s="53">
        <v>-13.158161792921044</v>
      </c>
      <c r="L28" s="54">
        <v>-18.313161825104451</v>
      </c>
      <c r="M28" s="54">
        <v>-20.202471075560634</v>
      </c>
      <c r="N28" s="52">
        <v>-0.68495718254667282</v>
      </c>
      <c r="O28" s="55">
        <v>6.6411128423323555</v>
      </c>
      <c r="P28" s="52">
        <v>0.71039781213936437</v>
      </c>
      <c r="Q28" s="56" t="e">
        <v>#N/A</v>
      </c>
      <c r="R28" s="55" t="e">
        <v>#N/A</v>
      </c>
      <c r="S28" s="57">
        <v>-42421000.00000006</v>
      </c>
      <c r="T28" s="57">
        <v>205533999.99999994</v>
      </c>
      <c r="U28" s="57">
        <v>2791913472</v>
      </c>
      <c r="V28" s="55" t="e">
        <v>#N/A</v>
      </c>
      <c r="W28" s="55" t="e">
        <v>#N/A</v>
      </c>
      <c r="X28" s="55">
        <v>0.89734156345659122</v>
      </c>
      <c r="Y28" s="55" t="e">
        <v>#N/A</v>
      </c>
      <c r="Z28" s="55">
        <v>4.3834186910670363</v>
      </c>
      <c r="AA28" s="33" t="s">
        <v>91</v>
      </c>
      <c r="AB28" s="33" t="s">
        <v>94</v>
      </c>
      <c r="AC28" s="33" t="s">
        <v>212</v>
      </c>
    </row>
    <row r="29" spans="1:29" hidden="1" x14ac:dyDescent="0.25">
      <c r="E29" s="1" t="s">
        <v>1026</v>
      </c>
      <c r="F29" s="1" t="s">
        <v>1027</v>
      </c>
      <c r="G29" s="41" t="e">
        <v>#N/A</v>
      </c>
      <c r="H29" s="41">
        <v>1.3941898232932806</v>
      </c>
      <c r="I29" s="41" t="e">
        <v>#N/A</v>
      </c>
      <c r="J29" s="41">
        <v>1.3941898232932806</v>
      </c>
      <c r="K29" s="42" t="e">
        <v>#N/A</v>
      </c>
      <c r="L29" s="28" t="e">
        <v>#N/A</v>
      </c>
      <c r="M29" s="28">
        <v>67.908400168847635</v>
      </c>
      <c r="N29" s="41" t="e">
        <v>#N/A</v>
      </c>
      <c r="O29" s="29" t="e">
        <v>#N/A</v>
      </c>
      <c r="P29" s="41">
        <v>0.97196233791426068</v>
      </c>
      <c r="Q29" s="43" t="e">
        <v>#N/A</v>
      </c>
      <c r="R29" s="29" t="e">
        <v>#N/A</v>
      </c>
      <c r="S29" s="44">
        <v>15717927</v>
      </c>
      <c r="T29" s="44">
        <v>15717927</v>
      </c>
      <c r="U29" s="44">
        <v>473131008</v>
      </c>
      <c r="V29" s="29" t="e">
        <v>#N/A</v>
      </c>
      <c r="W29" s="29" t="e">
        <v>#N/A</v>
      </c>
      <c r="X29" s="29" t="e">
        <v>#N/A</v>
      </c>
      <c r="Y29" s="29" t="e">
        <v>#N/A</v>
      </c>
      <c r="Z29" s="29">
        <v>1.9503343296193398</v>
      </c>
      <c r="AA29" t="s">
        <v>66</v>
      </c>
      <c r="AB29" t="s">
        <v>86</v>
      </c>
      <c r="AC29" t="s">
        <v>86</v>
      </c>
    </row>
    <row r="30" spans="1:29" hidden="1" x14ac:dyDescent="0.25">
      <c r="E30" s="1" t="s">
        <v>948</v>
      </c>
      <c r="F30" s="1" t="s">
        <v>949</v>
      </c>
      <c r="G30" s="41">
        <v>4.7294947752408918</v>
      </c>
      <c r="H30" s="41">
        <v>1.3563038371182468</v>
      </c>
      <c r="I30" s="41">
        <v>0.87623378674530294</v>
      </c>
      <c r="J30" s="41">
        <v>0.43506656618939976</v>
      </c>
      <c r="K30" s="42" t="e">
        <v>#N/A</v>
      </c>
      <c r="L30" s="28">
        <v>30.341997377881899</v>
      </c>
      <c r="M30" s="28">
        <v>27.317912445039191</v>
      </c>
      <c r="N30" s="41">
        <v>0.77490157480314958</v>
      </c>
      <c r="O30" s="29">
        <v>2.1811885302673502</v>
      </c>
      <c r="P30" s="41">
        <v>-0.12122170673414874</v>
      </c>
      <c r="Q30" s="43">
        <v>5.6014547179507448E-2</v>
      </c>
      <c r="R30" s="29">
        <v>14.929154125115684</v>
      </c>
      <c r="S30" s="44">
        <v>383099999.99999976</v>
      </c>
      <c r="T30" s="44">
        <v>1194299999.9999998</v>
      </c>
      <c r="U30" s="44">
        <v>3664955648</v>
      </c>
      <c r="V30" s="29">
        <v>7.2580075467516281</v>
      </c>
      <c r="W30" s="29">
        <v>9.5040008126247049</v>
      </c>
      <c r="X30" s="29">
        <v>11.107910684325967</v>
      </c>
      <c r="Y30" s="29">
        <v>10.630008727237165</v>
      </c>
      <c r="Z30" s="29" t="e">
        <v>#N/A</v>
      </c>
      <c r="AA30" t="s">
        <v>91</v>
      </c>
      <c r="AB30" t="s">
        <v>94</v>
      </c>
      <c r="AC30" t="s">
        <v>133</v>
      </c>
    </row>
    <row r="31" spans="1:29" hidden="1" x14ac:dyDescent="0.25">
      <c r="E31" s="1" t="s">
        <v>1051</v>
      </c>
      <c r="F31" s="1" t="s">
        <v>1052</v>
      </c>
      <c r="G31" s="41" t="e">
        <v>#N/A</v>
      </c>
      <c r="H31" s="41">
        <v>1.3155729130343818</v>
      </c>
      <c r="I31" s="41" t="e">
        <v>#N/A</v>
      </c>
      <c r="J31" s="41">
        <v>1.3155729130343818</v>
      </c>
      <c r="K31" s="42" t="e">
        <v>#N/A</v>
      </c>
      <c r="L31" s="28">
        <v>-1.9587506734593756</v>
      </c>
      <c r="M31" s="28">
        <v>6.9886165106570797</v>
      </c>
      <c r="N31" s="41">
        <v>-0.57082835840381319</v>
      </c>
      <c r="O31" s="29">
        <v>-12.656070733119309</v>
      </c>
      <c r="P31" s="41">
        <v>0.60486518435526104</v>
      </c>
      <c r="Q31" s="43" t="e">
        <v>#N/A</v>
      </c>
      <c r="R31" s="29" t="e">
        <v>#N/A</v>
      </c>
      <c r="S31" s="44">
        <v>14339000</v>
      </c>
      <c r="T31" s="44">
        <v>14339000</v>
      </c>
      <c r="U31" s="44">
        <v>298626112</v>
      </c>
      <c r="V31" s="29">
        <v>3.1189470027893269</v>
      </c>
      <c r="W31" s="29">
        <v>3.1415983884648009</v>
      </c>
      <c r="X31" s="29">
        <v>-1.5989894413520007</v>
      </c>
      <c r="Y31" s="29">
        <v>29.849999321831596</v>
      </c>
      <c r="Z31" s="29">
        <v>1.1653620834008365</v>
      </c>
      <c r="AA31" t="s">
        <v>66</v>
      </c>
      <c r="AB31" t="s">
        <v>78</v>
      </c>
      <c r="AC31" t="s">
        <v>121</v>
      </c>
    </row>
    <row r="32" spans="1:29" s="33" customFormat="1" x14ac:dyDescent="0.25">
      <c r="A32" s="33">
        <v>11</v>
      </c>
      <c r="B32" s="54"/>
      <c r="E32" s="51" t="s">
        <v>985</v>
      </c>
      <c r="F32" s="51" t="s">
        <v>986</v>
      </c>
      <c r="G32" s="52" t="e">
        <v>#N/A</v>
      </c>
      <c r="H32" s="52">
        <v>1.1836132458168851</v>
      </c>
      <c r="I32" s="52" t="e">
        <v>#N/A</v>
      </c>
      <c r="J32" s="52">
        <v>1.1836132458168851</v>
      </c>
      <c r="K32" s="53">
        <v>-6.780675514895627</v>
      </c>
      <c r="L32" s="54" t="e">
        <v>#N/A</v>
      </c>
      <c r="M32" s="54">
        <v>-27.637762051831395</v>
      </c>
      <c r="N32" s="52">
        <v>-0.80645017083933035</v>
      </c>
      <c r="O32" s="55">
        <v>14.585345360579591</v>
      </c>
      <c r="P32" s="52">
        <v>0.63221596756068787</v>
      </c>
      <c r="Q32" s="56" t="e">
        <v>#N/A</v>
      </c>
      <c r="R32" s="55" t="e">
        <v>#N/A</v>
      </c>
      <c r="S32" s="57">
        <v>-128433000</v>
      </c>
      <c r="T32" s="57">
        <v>-128433000</v>
      </c>
      <c r="U32" s="57">
        <v>8385633792</v>
      </c>
      <c r="V32" s="55" t="e">
        <v>#N/A</v>
      </c>
      <c r="W32" s="55" t="e">
        <v>#N/A</v>
      </c>
      <c r="X32" s="55">
        <v>1.5292582907965844</v>
      </c>
      <c r="Y32" s="55" t="e">
        <v>#N/A</v>
      </c>
      <c r="Z32" s="55">
        <v>11.741184531899908</v>
      </c>
      <c r="AA32" s="33" t="s">
        <v>91</v>
      </c>
      <c r="AB32" s="33" t="s">
        <v>94</v>
      </c>
      <c r="AC32" s="33" t="s">
        <v>212</v>
      </c>
    </row>
    <row r="33" spans="1:29" hidden="1" x14ac:dyDescent="0.25">
      <c r="E33" s="1" t="s">
        <v>270</v>
      </c>
      <c r="F33" s="1" t="s">
        <v>271</v>
      </c>
      <c r="G33" s="41">
        <v>0.76569854641475821</v>
      </c>
      <c r="H33" s="41">
        <v>1.1019789218287968</v>
      </c>
      <c r="I33" s="41">
        <v>0.76569854641475821</v>
      </c>
      <c r="J33" s="41">
        <v>1.1019789218287968</v>
      </c>
      <c r="K33" s="42" t="e">
        <v>#N/A</v>
      </c>
      <c r="L33" s="28">
        <v>91.266050691574947</v>
      </c>
      <c r="M33" s="28">
        <v>88.054276714320338</v>
      </c>
      <c r="N33" s="41" t="e">
        <v>#N/A</v>
      </c>
      <c r="O33" s="29" t="e">
        <v>#N/A</v>
      </c>
      <c r="P33" s="41">
        <v>0.85987464145330927</v>
      </c>
      <c r="Q33" s="43" t="e">
        <v>#N/A</v>
      </c>
      <c r="R33" s="29" t="e">
        <v>#N/A</v>
      </c>
      <c r="S33" s="44">
        <v>13189000</v>
      </c>
      <c r="T33" s="44">
        <v>13189000</v>
      </c>
      <c r="U33" s="44">
        <v>803845824</v>
      </c>
      <c r="V33" s="29" t="e">
        <v>#N/A</v>
      </c>
      <c r="W33" s="29" t="e">
        <v>#N/A</v>
      </c>
      <c r="X33" s="29" t="e">
        <v>#N/A</v>
      </c>
      <c r="Y33" s="29" t="e">
        <v>#N/A</v>
      </c>
      <c r="Z33" s="29">
        <v>6.5332650100656746</v>
      </c>
      <c r="AA33" t="s">
        <v>69</v>
      </c>
      <c r="AB33" t="s">
        <v>159</v>
      </c>
      <c r="AC33" t="s">
        <v>186</v>
      </c>
    </row>
    <row r="34" spans="1:29" hidden="1" x14ac:dyDescent="0.25">
      <c r="E34" s="1" t="s">
        <v>579</v>
      </c>
      <c r="F34" s="1" t="s">
        <v>580</v>
      </c>
      <c r="G34" s="41">
        <v>0.3594341192094086</v>
      </c>
      <c r="H34" s="41">
        <v>0.90984564038381288</v>
      </c>
      <c r="I34" s="41">
        <v>0.35887167692718458</v>
      </c>
      <c r="J34" s="41">
        <v>0.90984564038381288</v>
      </c>
      <c r="K34" s="42">
        <v>28.114203173441073</v>
      </c>
      <c r="L34" s="28">
        <v>5.2410745360288766</v>
      </c>
      <c r="M34" s="28">
        <v>6.4104444508839311</v>
      </c>
      <c r="N34" s="41">
        <v>-0.17849182821886161</v>
      </c>
      <c r="O34" s="29">
        <v>-1.4611316645045564</v>
      </c>
      <c r="P34" s="41">
        <v>0.29304702100152447</v>
      </c>
      <c r="Q34" s="43" t="e">
        <v>#N/A</v>
      </c>
      <c r="R34" s="29">
        <v>3.791619856637876</v>
      </c>
      <c r="S34" s="44">
        <v>239700000.00000006</v>
      </c>
      <c r="T34" s="44">
        <v>239700000.00000006</v>
      </c>
      <c r="U34" s="44">
        <v>3065280768</v>
      </c>
      <c r="V34" s="29">
        <v>8.3573496308396997</v>
      </c>
      <c r="W34" s="29">
        <v>11.172250822143052</v>
      </c>
      <c r="X34" s="29">
        <v>5.1297421639647984</v>
      </c>
      <c r="Y34" s="29">
        <v>15.56480370876791</v>
      </c>
      <c r="Z34" s="29">
        <v>4.0949740032687156</v>
      </c>
      <c r="AA34" t="s">
        <v>66</v>
      </c>
      <c r="AB34" t="s">
        <v>78</v>
      </c>
      <c r="AC34" t="s">
        <v>121</v>
      </c>
    </row>
    <row r="35" spans="1:29" hidden="1" x14ac:dyDescent="0.25">
      <c r="E35" s="1" t="s">
        <v>950</v>
      </c>
      <c r="F35" s="1" t="s">
        <v>951</v>
      </c>
      <c r="G35" s="41">
        <v>0.56898376813960527</v>
      </c>
      <c r="H35" s="41">
        <v>0.87464534433840602</v>
      </c>
      <c r="I35" s="41">
        <v>0.56765721583608841</v>
      </c>
      <c r="J35" s="41">
        <v>0.87344380527174381</v>
      </c>
      <c r="K35" s="42">
        <v>23.649830041237905</v>
      </c>
      <c r="L35" s="28">
        <v>32.23180043613322</v>
      </c>
      <c r="M35" s="28">
        <v>59.706566042542349</v>
      </c>
      <c r="N35" s="41">
        <v>0.27920179876335022</v>
      </c>
      <c r="O35" s="29">
        <v>0.84436889077773059</v>
      </c>
      <c r="P35" s="41">
        <v>0.45444419484069043</v>
      </c>
      <c r="Q35" s="43" t="e">
        <v>#N/A</v>
      </c>
      <c r="R35" s="29">
        <v>34.632801618182562</v>
      </c>
      <c r="S35" s="44">
        <v>6978600000</v>
      </c>
      <c r="T35" s="44">
        <v>6988200000</v>
      </c>
      <c r="U35" s="44">
        <v>1374094848</v>
      </c>
      <c r="V35" s="29">
        <v>1.234252683949568</v>
      </c>
      <c r="W35" s="29">
        <v>2.2317084262295084</v>
      </c>
      <c r="X35" s="29">
        <v>204.31631805375926</v>
      </c>
      <c r="Y35" s="29">
        <v>1.0696828666377798</v>
      </c>
      <c r="Z35" s="29">
        <v>0.28305706929591395</v>
      </c>
      <c r="AA35" t="s">
        <v>77</v>
      </c>
      <c r="AB35" t="s">
        <v>102</v>
      </c>
      <c r="AC35" t="s">
        <v>130</v>
      </c>
    </row>
    <row r="36" spans="1:29" s="33" customFormat="1" x14ac:dyDescent="0.25">
      <c r="A36" s="33">
        <v>14</v>
      </c>
      <c r="B36" s="54"/>
      <c r="E36" s="51" t="s">
        <v>288</v>
      </c>
      <c r="F36" s="51" t="s">
        <v>289</v>
      </c>
      <c r="G36" s="52">
        <v>0.73286999137617115</v>
      </c>
      <c r="H36" s="52">
        <v>0.84041689665248875</v>
      </c>
      <c r="I36" s="52">
        <v>0.73286999137617115</v>
      </c>
      <c r="J36" s="52">
        <v>0.84041689665248875</v>
      </c>
      <c r="K36" s="53" t="e">
        <v>#N/A</v>
      </c>
      <c r="L36" s="54">
        <v>34.845782202286429</v>
      </c>
      <c r="M36" s="54">
        <v>36.653548305192331</v>
      </c>
      <c r="N36" s="52" t="e">
        <v>#N/A</v>
      </c>
      <c r="O36" s="55" t="e">
        <v>#N/A</v>
      </c>
      <c r="P36" s="52">
        <v>0.90095566573255725</v>
      </c>
      <c r="Q36" s="56" t="e">
        <v>#N/A</v>
      </c>
      <c r="R36" s="55" t="e">
        <v>#N/A</v>
      </c>
      <c r="S36" s="57">
        <v>30799000</v>
      </c>
      <c r="T36" s="57">
        <v>30799000</v>
      </c>
      <c r="U36" s="57">
        <v>1006845504</v>
      </c>
      <c r="V36" s="55" t="e">
        <v>#N/A</v>
      </c>
      <c r="W36" s="55" t="e">
        <v>#N/A</v>
      </c>
      <c r="X36" s="55" t="e">
        <v>#N/A</v>
      </c>
      <c r="Y36" s="55" t="e">
        <v>#N/A</v>
      </c>
      <c r="Z36" s="55">
        <v>2.110845060688828</v>
      </c>
      <c r="AA36" s="33" t="s">
        <v>77</v>
      </c>
      <c r="AB36" s="33" t="s">
        <v>83</v>
      </c>
      <c r="AC36" s="33" t="s">
        <v>215</v>
      </c>
    </row>
    <row r="37" spans="1:29" hidden="1" x14ac:dyDescent="0.25">
      <c r="E37" s="1" t="s">
        <v>493</v>
      </c>
      <c r="F37" s="1" t="s">
        <v>494</v>
      </c>
      <c r="G37" s="41">
        <v>0.55722910105562473</v>
      </c>
      <c r="H37" s="41">
        <v>0.77620930660290599</v>
      </c>
      <c r="I37" s="41">
        <v>0.15306525186167641</v>
      </c>
      <c r="J37" s="41">
        <v>0.19905431219489186</v>
      </c>
      <c r="K37" s="42">
        <v>6.9284595582721318</v>
      </c>
      <c r="L37" s="28">
        <v>19.576513714149208</v>
      </c>
      <c r="M37" s="28">
        <v>20.17605574466651</v>
      </c>
      <c r="N37" s="41">
        <v>-0.22606552182688686</v>
      </c>
      <c r="O37" s="29">
        <v>-0.96872828353022933</v>
      </c>
      <c r="P37" s="41">
        <v>1.2906415331255885</v>
      </c>
      <c r="Q37" s="43" t="e">
        <v>#N/A</v>
      </c>
      <c r="R37" s="29">
        <v>11.546948599939233</v>
      </c>
      <c r="S37" s="44">
        <v>86992000</v>
      </c>
      <c r="T37" s="44">
        <v>339224000</v>
      </c>
      <c r="U37" s="44">
        <v>1663553152</v>
      </c>
      <c r="V37" s="29">
        <v>16.842702218420911</v>
      </c>
      <c r="W37" s="29">
        <v>22.018842886494191</v>
      </c>
      <c r="X37" s="29">
        <v>3.1676174540409274</v>
      </c>
      <c r="Y37" s="29">
        <v>28.906581710453047</v>
      </c>
      <c r="Z37" s="29">
        <v>3.9725414193129338</v>
      </c>
      <c r="AA37" t="s">
        <v>91</v>
      </c>
      <c r="AB37" t="s">
        <v>94</v>
      </c>
      <c r="AC37" t="s">
        <v>230</v>
      </c>
    </row>
    <row r="38" spans="1:29" hidden="1" x14ac:dyDescent="0.25">
      <c r="E38" s="1" t="s">
        <v>555</v>
      </c>
      <c r="F38" s="1" t="s">
        <v>556</v>
      </c>
      <c r="G38" s="41">
        <v>-3.8238346898097548</v>
      </c>
      <c r="H38" s="41">
        <v>0.73088142633777509</v>
      </c>
      <c r="I38" s="41">
        <v>0.38988498057071652</v>
      </c>
      <c r="J38" s="41">
        <v>0.3894865130392608</v>
      </c>
      <c r="K38" s="42">
        <v>3.5533014536467378</v>
      </c>
      <c r="L38" s="28">
        <v>17.238876589128488</v>
      </c>
      <c r="M38" s="28">
        <v>15.383161330895369</v>
      </c>
      <c r="N38" s="41">
        <v>-0.37171777017163782</v>
      </c>
      <c r="O38" s="29">
        <v>-5.3148091447234131</v>
      </c>
      <c r="P38" s="41">
        <v>1.2208829148085087</v>
      </c>
      <c r="Q38" s="43" t="e">
        <v>#N/A</v>
      </c>
      <c r="R38" s="29">
        <v>9.4342746257198993</v>
      </c>
      <c r="S38" s="44">
        <v>42851000</v>
      </c>
      <c r="T38" s="44">
        <v>80411000</v>
      </c>
      <c r="U38" s="44">
        <v>321535776</v>
      </c>
      <c r="V38" s="29">
        <v>11.093426005307206</v>
      </c>
      <c r="W38" s="29">
        <v>12.973667701121986</v>
      </c>
      <c r="X38" s="29">
        <v>1.1780959640397839</v>
      </c>
      <c r="Y38" s="29">
        <v>24.071428571428569</v>
      </c>
      <c r="Z38" s="29">
        <v>1.7174772783018364</v>
      </c>
      <c r="AA38" t="s">
        <v>71</v>
      </c>
      <c r="AB38" t="s">
        <v>75</v>
      </c>
      <c r="AC38" t="s">
        <v>213</v>
      </c>
    </row>
    <row r="39" spans="1:29" hidden="1" x14ac:dyDescent="0.25">
      <c r="E39" s="1" t="s">
        <v>463</v>
      </c>
      <c r="F39" s="1" t="s">
        <v>464</v>
      </c>
      <c r="G39" s="41">
        <v>1.142179240175085</v>
      </c>
      <c r="H39" s="41">
        <v>0.72136407237125</v>
      </c>
      <c r="I39" s="41">
        <v>0.35087536626121091</v>
      </c>
      <c r="J39" s="41">
        <v>0.26023083515029233</v>
      </c>
      <c r="K39" s="42">
        <v>23.265763081016615</v>
      </c>
      <c r="L39" s="28">
        <v>14.972530777004831</v>
      </c>
      <c r="M39" s="28">
        <v>15.246551618351178</v>
      </c>
      <c r="N39" s="41">
        <v>0.1394973283621396</v>
      </c>
      <c r="O39" s="29">
        <v>0.56644998439344796</v>
      </c>
      <c r="P39" s="41">
        <v>0.44146621919302953</v>
      </c>
      <c r="Q39" s="43" t="e">
        <v>#N/A</v>
      </c>
      <c r="R39" s="29">
        <v>12.41612499367332</v>
      </c>
      <c r="S39" s="44">
        <v>332563000</v>
      </c>
      <c r="T39" s="44">
        <v>921870000</v>
      </c>
      <c r="U39" s="44">
        <v>4549842944</v>
      </c>
      <c r="V39" s="29">
        <v>12.95418172540611</v>
      </c>
      <c r="W39" s="29">
        <v>18.236810619347295</v>
      </c>
      <c r="X39" s="29">
        <v>5.4698151796248027</v>
      </c>
      <c r="Y39" s="29">
        <v>23.890578278868158</v>
      </c>
      <c r="Z39" s="29">
        <v>5.0264779329050668</v>
      </c>
      <c r="AA39" t="s">
        <v>91</v>
      </c>
      <c r="AB39" t="s">
        <v>94</v>
      </c>
      <c r="AC39" t="s">
        <v>212</v>
      </c>
    </row>
    <row r="40" spans="1:29" hidden="1" x14ac:dyDescent="0.25">
      <c r="E40" s="1" t="s">
        <v>987</v>
      </c>
      <c r="F40" s="1" t="s">
        <v>988</v>
      </c>
      <c r="G40" s="41" t="e">
        <v>#N/A</v>
      </c>
      <c r="H40" s="41">
        <v>0.68375002339752677</v>
      </c>
      <c r="I40" s="41" t="e">
        <v>#N/A</v>
      </c>
      <c r="J40" s="41">
        <v>0.25314604456378148</v>
      </c>
      <c r="K40" s="42">
        <v>18.653890542851752</v>
      </c>
      <c r="L40" s="28">
        <v>22.426677743293833</v>
      </c>
      <c r="M40" s="28">
        <v>28.388272208913929</v>
      </c>
      <c r="N40" s="41">
        <v>0.10001687501097298</v>
      </c>
      <c r="O40" s="29">
        <v>0.45862929149431403</v>
      </c>
      <c r="P40" s="41">
        <v>0.51103117271580922</v>
      </c>
      <c r="Q40" s="43" t="e">
        <v>#N/A</v>
      </c>
      <c r="R40" s="29" t="e">
        <v>#N/A</v>
      </c>
      <c r="S40" s="44">
        <v>134122873.50000003</v>
      </c>
      <c r="T40" s="44">
        <v>362267236.10000002</v>
      </c>
      <c r="U40" s="44">
        <v>871738368</v>
      </c>
      <c r="V40" s="29">
        <v>8.0148704045462029</v>
      </c>
      <c r="W40" s="29">
        <v>10.365626613899492</v>
      </c>
      <c r="X40" s="29">
        <v>9.8932527598752724</v>
      </c>
      <c r="Y40" s="29">
        <v>14.185000736066659</v>
      </c>
      <c r="Z40" s="29">
        <v>2.3030541990591398</v>
      </c>
      <c r="AA40" t="s">
        <v>65</v>
      </c>
      <c r="AB40" t="s">
        <v>79</v>
      </c>
      <c r="AC40" t="s">
        <v>80</v>
      </c>
    </row>
    <row r="41" spans="1:29" hidden="1" x14ac:dyDescent="0.25">
      <c r="E41" s="1" t="s">
        <v>587</v>
      </c>
      <c r="F41" s="1" t="s">
        <v>588</v>
      </c>
      <c r="G41" s="41">
        <v>0.51152496540459824</v>
      </c>
      <c r="H41" s="41">
        <v>0.64115922256391078</v>
      </c>
      <c r="I41" s="41">
        <v>0.26849468176431357</v>
      </c>
      <c r="J41" s="41">
        <v>0.29651000086499468</v>
      </c>
      <c r="K41" s="42">
        <v>29.131218565813676</v>
      </c>
      <c r="L41" s="28">
        <v>10.118021427271255</v>
      </c>
      <c r="M41" s="28">
        <v>10.624584715538127</v>
      </c>
      <c r="N41" s="41">
        <v>8.7867334032196917E-2</v>
      </c>
      <c r="O41" s="29">
        <v>0.40009636286220102</v>
      </c>
      <c r="P41" s="41">
        <v>0.31631523079732471</v>
      </c>
      <c r="Q41" s="43" t="e">
        <v>#N/A</v>
      </c>
      <c r="R41" s="29">
        <v>19.846372117959625</v>
      </c>
      <c r="S41" s="44">
        <v>363554000</v>
      </c>
      <c r="T41" s="44">
        <v>786132000</v>
      </c>
      <c r="U41" s="44">
        <v>3525793024</v>
      </c>
      <c r="V41" s="29">
        <v>10.345281648477243</v>
      </c>
      <c r="W41" s="29">
        <v>14.676241362592295</v>
      </c>
      <c r="X41" s="29">
        <v>10.134826337440732</v>
      </c>
      <c r="Y41" s="29">
        <v>20.086117089768337</v>
      </c>
      <c r="Z41" s="29">
        <v>5.6607177801520159</v>
      </c>
      <c r="AA41" t="s">
        <v>91</v>
      </c>
      <c r="AB41" t="s">
        <v>94</v>
      </c>
      <c r="AC41" t="s">
        <v>126</v>
      </c>
    </row>
    <row r="42" spans="1:29" s="33" customFormat="1" x14ac:dyDescent="0.25">
      <c r="A42" s="33">
        <v>11</v>
      </c>
      <c r="B42" s="54"/>
      <c r="E42" s="51" t="s">
        <v>686</v>
      </c>
      <c r="F42" s="51" t="s">
        <v>687</v>
      </c>
      <c r="G42" s="52">
        <v>0.42281241344214432</v>
      </c>
      <c r="H42" s="52">
        <v>0.63606628820980526</v>
      </c>
      <c r="I42" s="52">
        <v>0.46232292844121448</v>
      </c>
      <c r="J42" s="52">
        <v>0.71626554065107151</v>
      </c>
      <c r="K42" s="53" t="e">
        <v>#N/A</v>
      </c>
      <c r="L42" s="54">
        <v>-14.21274570194441</v>
      </c>
      <c r="M42" s="54">
        <v>-18.54689817290328</v>
      </c>
      <c r="N42" s="52">
        <v>2.6299880010602877E-2</v>
      </c>
      <c r="O42" s="55">
        <v>-0.47132669818911305</v>
      </c>
      <c r="P42" s="52">
        <v>-0.10575441143289643</v>
      </c>
      <c r="Q42" s="56" t="e">
        <v>#N/A</v>
      </c>
      <c r="R42" s="55">
        <v>23.724393783144723</v>
      </c>
      <c r="S42" s="57">
        <v>-440561000</v>
      </c>
      <c r="T42" s="57">
        <v>-391232000</v>
      </c>
      <c r="U42" s="57">
        <v>5375495168</v>
      </c>
      <c r="V42" s="55" t="e">
        <v>#N/A</v>
      </c>
      <c r="W42" s="55" t="e">
        <v>#N/A</v>
      </c>
      <c r="X42" s="55">
        <v>1.4106979474453505</v>
      </c>
      <c r="Y42" s="55" t="e">
        <v>#N/A</v>
      </c>
      <c r="Z42" s="55" t="e">
        <v>#N/A</v>
      </c>
      <c r="AA42" s="33" t="s">
        <v>71</v>
      </c>
      <c r="AB42" s="33" t="s">
        <v>101</v>
      </c>
      <c r="AC42" s="33" t="s">
        <v>229</v>
      </c>
    </row>
    <row r="43" spans="1:29" s="33" customFormat="1" x14ac:dyDescent="0.25">
      <c r="A43" s="33">
        <v>14</v>
      </c>
      <c r="B43" s="54"/>
      <c r="E43" s="51" t="s">
        <v>657</v>
      </c>
      <c r="F43" s="51" t="s">
        <v>658</v>
      </c>
      <c r="G43" s="52">
        <v>0.67632172876677354</v>
      </c>
      <c r="H43" s="52">
        <v>0.6093901438902557</v>
      </c>
      <c r="I43" s="52">
        <v>0.67632172876677354</v>
      </c>
      <c r="J43" s="52">
        <v>0.6093901438902557</v>
      </c>
      <c r="K43" s="53">
        <v>101.73946211254328</v>
      </c>
      <c r="L43" s="54">
        <v>20.825000923349911</v>
      </c>
      <c r="M43" s="54">
        <v>20.000582767563156</v>
      </c>
      <c r="N43" s="52">
        <v>0.49211367207962287</v>
      </c>
      <c r="O43" s="55">
        <v>1.7544962181342796</v>
      </c>
      <c r="P43" s="52">
        <v>0.17086432687270822</v>
      </c>
      <c r="Q43" s="56" t="e">
        <v>#N/A</v>
      </c>
      <c r="R43" s="55">
        <v>4.6744962033593085</v>
      </c>
      <c r="S43" s="57">
        <v>160956000</v>
      </c>
      <c r="T43" s="57">
        <v>160956000</v>
      </c>
      <c r="U43" s="57">
        <v>483365696</v>
      </c>
      <c r="V43" s="55">
        <v>6.2503006443178633</v>
      </c>
      <c r="W43" s="55">
        <v>7.0406199286833777</v>
      </c>
      <c r="X43" s="55">
        <v>9.5296377838116157</v>
      </c>
      <c r="Y43" s="55">
        <v>6.7289028162301339</v>
      </c>
      <c r="Z43" s="55">
        <v>7.0834152443928158</v>
      </c>
      <c r="AA43" s="33" t="s">
        <v>76</v>
      </c>
      <c r="AB43" s="33" t="s">
        <v>95</v>
      </c>
      <c r="AC43" s="33" t="s">
        <v>95</v>
      </c>
    </row>
    <row r="44" spans="1:29" s="33" customFormat="1" x14ac:dyDescent="0.25">
      <c r="A44" s="33">
        <v>10</v>
      </c>
      <c r="B44" s="54"/>
      <c r="E44" s="51" t="s">
        <v>595</v>
      </c>
      <c r="F44" s="51" t="s">
        <v>596</v>
      </c>
      <c r="G44" s="52">
        <v>0.57567435293282199</v>
      </c>
      <c r="H44" s="52">
        <v>0.60648429111619451</v>
      </c>
      <c r="I44" s="52">
        <v>0.48794804791082064</v>
      </c>
      <c r="J44" s="52">
        <v>0.5093690473467708</v>
      </c>
      <c r="K44" s="53">
        <v>12.017100502416906</v>
      </c>
      <c r="L44" s="54">
        <v>27.558078442636884</v>
      </c>
      <c r="M44" s="54">
        <v>31.318892153719183</v>
      </c>
      <c r="N44" s="52">
        <v>-0.32483566011328208</v>
      </c>
      <c r="O44" s="55">
        <v>-2.0666186624834451</v>
      </c>
      <c r="P44" s="52">
        <v>1.2143144478319783</v>
      </c>
      <c r="Q44" s="56" t="e">
        <v>#N/A</v>
      </c>
      <c r="R44" s="55">
        <v>20.329033411911759</v>
      </c>
      <c r="S44" s="57">
        <v>257051999.99999994</v>
      </c>
      <c r="T44" s="57">
        <v>306060999.99999994</v>
      </c>
      <c r="U44" s="57">
        <v>3400152320</v>
      </c>
      <c r="V44" s="55">
        <v>19.793408339869618</v>
      </c>
      <c r="W44" s="55">
        <v>21.941391298150588</v>
      </c>
      <c r="X44" s="55">
        <v>3.2174146833515977</v>
      </c>
      <c r="Y44" s="55">
        <v>27.770373547284102</v>
      </c>
      <c r="Z44" s="55">
        <v>5.1193653295648085</v>
      </c>
      <c r="AA44" s="33" t="s">
        <v>91</v>
      </c>
      <c r="AB44" s="33" t="s">
        <v>216</v>
      </c>
      <c r="AC44" s="33" t="s">
        <v>217</v>
      </c>
    </row>
    <row r="45" spans="1:29" hidden="1" x14ac:dyDescent="0.25">
      <c r="E45" s="1" t="s">
        <v>255</v>
      </c>
      <c r="F45" s="1" t="s">
        <v>256</v>
      </c>
      <c r="G45" s="41">
        <v>0.46840319192737773</v>
      </c>
      <c r="H45" s="41">
        <v>0.60027013389916029</v>
      </c>
      <c r="I45" s="41">
        <v>0.14749432161840295</v>
      </c>
      <c r="J45" s="41">
        <v>0.19741306222418678</v>
      </c>
      <c r="K45" s="42">
        <v>5.8988872518487119</v>
      </c>
      <c r="L45" s="28">
        <v>13.683152589128351</v>
      </c>
      <c r="M45" s="28">
        <v>15.078193423385635</v>
      </c>
      <c r="N45" s="41">
        <v>0.14093710700208412</v>
      </c>
      <c r="O45" s="29" t="e">
        <v>#N/A</v>
      </c>
      <c r="P45" s="41">
        <v>0.65894862319704373</v>
      </c>
      <c r="Q45" s="43" t="e">
        <v>#N/A</v>
      </c>
      <c r="R45" s="29">
        <v>12.542559301154679</v>
      </c>
      <c r="S45" s="44">
        <v>453849000</v>
      </c>
      <c r="T45" s="44">
        <v>1380010000</v>
      </c>
      <c r="U45" s="44">
        <v>4405075456</v>
      </c>
      <c r="V45" s="29" t="e">
        <v>#N/A</v>
      </c>
      <c r="W45" s="29">
        <v>8.6691492930343337</v>
      </c>
      <c r="X45" s="29" t="e">
        <v>#N/A</v>
      </c>
      <c r="Y45" s="29">
        <v>18.1906759848363</v>
      </c>
      <c r="Z45" s="29">
        <v>2.0362034062880929</v>
      </c>
      <c r="AA45" t="s">
        <v>91</v>
      </c>
      <c r="AB45" t="s">
        <v>94</v>
      </c>
      <c r="AC45" t="s">
        <v>257</v>
      </c>
    </row>
    <row r="46" spans="1:29" s="33" customFormat="1" x14ac:dyDescent="0.25">
      <c r="A46" s="33">
        <v>14</v>
      </c>
      <c r="B46" s="54"/>
      <c r="E46" s="51" t="s">
        <v>425</v>
      </c>
      <c r="F46" s="51" t="s">
        <v>426</v>
      </c>
      <c r="G46" s="52">
        <v>0.57863799469698862</v>
      </c>
      <c r="H46" s="52">
        <v>0.57624178142281191</v>
      </c>
      <c r="I46" s="52">
        <v>0.38103816489790432</v>
      </c>
      <c r="J46" s="52">
        <v>0.41472222025156608</v>
      </c>
      <c r="K46" s="53">
        <v>13.046318352494987</v>
      </c>
      <c r="L46" s="54">
        <v>27.558877996854466</v>
      </c>
      <c r="M46" s="54">
        <v>30.767865916907791</v>
      </c>
      <c r="N46" s="52">
        <v>-0.10584614222591486</v>
      </c>
      <c r="O46" s="55">
        <v>-0.32541101616199142</v>
      </c>
      <c r="P46" s="52">
        <v>1.1747775534496478</v>
      </c>
      <c r="Q46" s="56" t="e">
        <v>#N/A</v>
      </c>
      <c r="R46" s="55">
        <v>5.1315975829905209</v>
      </c>
      <c r="S46" s="57">
        <v>101447000</v>
      </c>
      <c r="T46" s="57">
        <v>140957000</v>
      </c>
      <c r="U46" s="57">
        <v>595856512</v>
      </c>
      <c r="V46" s="55">
        <v>6.666467490247074</v>
      </c>
      <c r="W46" s="55">
        <v>9.179515451885722</v>
      </c>
      <c r="X46" s="55">
        <v>7.4089984939192881</v>
      </c>
      <c r="Y46" s="55">
        <v>13.749375081549228</v>
      </c>
      <c r="Z46" s="55">
        <v>3.7403976196305155</v>
      </c>
      <c r="AA46" s="33" t="s">
        <v>77</v>
      </c>
      <c r="AB46" s="33" t="s">
        <v>111</v>
      </c>
      <c r="AC46" s="33" t="s">
        <v>228</v>
      </c>
    </row>
    <row r="47" spans="1:29" hidden="1" x14ac:dyDescent="0.25">
      <c r="E47" s="1" t="s">
        <v>393</v>
      </c>
      <c r="F47" s="1" t="s">
        <v>394</v>
      </c>
      <c r="G47" s="41">
        <v>0.33735325500973157</v>
      </c>
      <c r="H47" s="41">
        <v>0.55696004993757797</v>
      </c>
      <c r="I47" s="41">
        <v>0.33735325500973157</v>
      </c>
      <c r="J47" s="41">
        <v>0.55696004993757797</v>
      </c>
      <c r="K47" s="42" t="e">
        <v>#N/A</v>
      </c>
      <c r="L47" s="28">
        <v>17.85957511512661</v>
      </c>
      <c r="M47" s="28">
        <v>27.819471220049568</v>
      </c>
      <c r="N47" s="41" t="e">
        <v>#N/A</v>
      </c>
      <c r="O47" s="29" t="e">
        <v>#N/A</v>
      </c>
      <c r="P47" s="41">
        <v>0.7991238303849908</v>
      </c>
      <c r="Q47" s="43" t="e">
        <v>#N/A</v>
      </c>
      <c r="R47" s="29" t="e">
        <v>#N/A</v>
      </c>
      <c r="S47" s="44">
        <v>12816000</v>
      </c>
      <c r="T47" s="44">
        <v>12816000</v>
      </c>
      <c r="U47" s="44">
        <v>278474944</v>
      </c>
      <c r="V47" s="29" t="e">
        <v>#N/A</v>
      </c>
      <c r="W47" s="29" t="e">
        <v>#N/A</v>
      </c>
      <c r="X47" s="29" t="e">
        <v>#N/A</v>
      </c>
      <c r="Y47" s="29" t="e">
        <v>#N/A</v>
      </c>
      <c r="Z47" s="29">
        <v>2.2693122585348879</v>
      </c>
      <c r="AA47" t="s">
        <v>77</v>
      </c>
      <c r="AB47" t="s">
        <v>111</v>
      </c>
      <c r="AC47" t="s">
        <v>193</v>
      </c>
    </row>
    <row r="48" spans="1:29" hidden="1" x14ac:dyDescent="0.25">
      <c r="E48" s="1" t="s">
        <v>539</v>
      </c>
      <c r="F48" s="1" t="s">
        <v>540</v>
      </c>
      <c r="G48" s="41">
        <v>0.6242859255992157</v>
      </c>
      <c r="H48" s="41">
        <v>0.55684376657235313</v>
      </c>
      <c r="I48" s="41">
        <v>0.22435064709853489</v>
      </c>
      <c r="J48" s="41">
        <v>0.22947138379800175</v>
      </c>
      <c r="K48" s="42">
        <v>21.567890306291844</v>
      </c>
      <c r="L48" s="28">
        <v>10.214618314742276</v>
      </c>
      <c r="M48" s="28">
        <v>10.977255280631773</v>
      </c>
      <c r="N48" s="41">
        <v>0.2717030369640846</v>
      </c>
      <c r="O48" s="29">
        <v>1.4489372122636892</v>
      </c>
      <c r="P48" s="41">
        <v>0.26431754595458701</v>
      </c>
      <c r="Q48" s="43" t="e">
        <v>#N/A</v>
      </c>
      <c r="R48" s="29">
        <v>10.345609166251737</v>
      </c>
      <c r="S48" s="44">
        <v>629814000</v>
      </c>
      <c r="T48" s="44">
        <v>1528330000</v>
      </c>
      <c r="U48" s="44">
        <v>4891200000</v>
      </c>
      <c r="V48" s="29">
        <v>10.251907853142058</v>
      </c>
      <c r="W48" s="29">
        <v>15.419465873781206</v>
      </c>
      <c r="X48" s="29">
        <v>7.5593105986261042</v>
      </c>
      <c r="Y48" s="29">
        <v>22.844350691907813</v>
      </c>
      <c r="Z48" s="29">
        <v>5.0051119540932998</v>
      </c>
      <c r="AA48" t="s">
        <v>91</v>
      </c>
      <c r="AB48" t="s">
        <v>92</v>
      </c>
      <c r="AC48" t="s">
        <v>191</v>
      </c>
    </row>
    <row r="49" spans="1:29" hidden="1" x14ac:dyDescent="0.25">
      <c r="E49" s="1" t="s">
        <v>553</v>
      </c>
      <c r="F49" s="1" t="s">
        <v>554</v>
      </c>
      <c r="G49" s="41">
        <v>0.4510896035054473</v>
      </c>
      <c r="H49" s="41">
        <v>0.54980756373886486</v>
      </c>
      <c r="I49" s="41">
        <v>0.20046802516649712</v>
      </c>
      <c r="J49" s="41">
        <v>0.22590715889897359</v>
      </c>
      <c r="K49" s="42">
        <v>8.1403972115766461</v>
      </c>
      <c r="L49" s="28">
        <v>16.192102662720345</v>
      </c>
      <c r="M49" s="28">
        <v>14.569895129077336</v>
      </c>
      <c r="N49" s="41">
        <v>2.6090260821758322E-2</v>
      </c>
      <c r="O49" s="29">
        <v>0.1232400641596863</v>
      </c>
      <c r="P49" s="41">
        <v>1.0516066800438693</v>
      </c>
      <c r="Q49" s="43" t="e">
        <v>#N/A</v>
      </c>
      <c r="R49" s="29">
        <v>16.23409462799146</v>
      </c>
      <c r="S49" s="44">
        <v>110686000</v>
      </c>
      <c r="T49" s="44">
        <v>269385000</v>
      </c>
      <c r="U49" s="44">
        <v>579298048</v>
      </c>
      <c r="V49" s="29">
        <v>7.8183421340733759</v>
      </c>
      <c r="W49" s="29">
        <v>9.9863747642276426</v>
      </c>
      <c r="X49" s="29">
        <v>12.261563843557092</v>
      </c>
      <c r="Y49" s="29">
        <v>13.581795789643307</v>
      </c>
      <c r="Z49" s="29">
        <v>2.2074611225216918</v>
      </c>
      <c r="AA49" t="s">
        <v>91</v>
      </c>
      <c r="AB49" t="s">
        <v>94</v>
      </c>
      <c r="AC49" t="s">
        <v>212</v>
      </c>
    </row>
    <row r="50" spans="1:29" s="33" customFormat="1" x14ac:dyDescent="0.25">
      <c r="A50" s="33">
        <v>11</v>
      </c>
      <c r="B50" s="54"/>
      <c r="E50" s="51" t="s">
        <v>383</v>
      </c>
      <c r="F50" s="51" t="s">
        <v>384</v>
      </c>
      <c r="G50" s="52">
        <v>0.51151041586757229</v>
      </c>
      <c r="H50" s="52">
        <v>0.52213427875578022</v>
      </c>
      <c r="I50" s="52">
        <v>0.12981687245398929</v>
      </c>
      <c r="J50" s="52">
        <v>0.14874908516834007</v>
      </c>
      <c r="K50" s="53">
        <v>5.0873407350155739</v>
      </c>
      <c r="L50" s="54">
        <v>25.952231765976336</v>
      </c>
      <c r="M50" s="54">
        <v>24.134481642547954</v>
      </c>
      <c r="N50" s="52">
        <v>-0.26551059368882896</v>
      </c>
      <c r="O50" s="55">
        <v>-1.5929705606382614</v>
      </c>
      <c r="P50" s="52">
        <v>1.2878285076008178</v>
      </c>
      <c r="Q50" s="56" t="e">
        <v>#N/A</v>
      </c>
      <c r="R50" s="55">
        <v>10.392511925789455</v>
      </c>
      <c r="S50" s="57">
        <v>644227000</v>
      </c>
      <c r="T50" s="57">
        <v>2261345000</v>
      </c>
      <c r="U50" s="57">
        <v>45186269184</v>
      </c>
      <c r="V50" s="55">
        <v>20.065189218816073</v>
      </c>
      <c r="W50" s="55">
        <v>29.321608423174339</v>
      </c>
      <c r="X50" s="55">
        <v>4.2041263938093616</v>
      </c>
      <c r="Y50" s="55">
        <v>40.847082196718354</v>
      </c>
      <c r="Z50" s="55">
        <v>3.7362352804803263</v>
      </c>
      <c r="AA50" s="33" t="s">
        <v>71</v>
      </c>
      <c r="AB50" s="33" t="s">
        <v>75</v>
      </c>
      <c r="AC50" s="33" t="s">
        <v>213</v>
      </c>
    </row>
    <row r="51" spans="1:29" s="33" customFormat="1" x14ac:dyDescent="0.25">
      <c r="A51" s="33">
        <v>14</v>
      </c>
      <c r="B51" s="54"/>
      <c r="E51" s="51" t="s">
        <v>368</v>
      </c>
      <c r="F51" s="51" t="s">
        <v>369</v>
      </c>
      <c r="G51" s="52">
        <v>0.40660754638707469</v>
      </c>
      <c r="H51" s="52">
        <v>0.46819612625131157</v>
      </c>
      <c r="I51" s="52">
        <v>0.36579241478389674</v>
      </c>
      <c r="J51" s="52">
        <v>0.30624984839469604</v>
      </c>
      <c r="K51" s="53">
        <v>12.564841373174135</v>
      </c>
      <c r="L51" s="54">
        <v>13.478228636767231</v>
      </c>
      <c r="M51" s="54">
        <v>11.275382518331513</v>
      </c>
      <c r="N51" s="52">
        <v>0.27702975715456502</v>
      </c>
      <c r="O51" s="55">
        <v>1.9583852171516025</v>
      </c>
      <c r="P51" s="52">
        <v>0.28108471902305576</v>
      </c>
      <c r="Q51" s="56" t="e">
        <v>#N/A</v>
      </c>
      <c r="R51" s="55">
        <v>21.196669112336824</v>
      </c>
      <c r="S51" s="57">
        <v>458419000</v>
      </c>
      <c r="T51" s="57">
        <v>700833000</v>
      </c>
      <c r="U51" s="57">
        <v>2325947648</v>
      </c>
      <c r="V51" s="55">
        <v>13.012954231343212</v>
      </c>
      <c r="W51" s="55">
        <v>16.771125575013627</v>
      </c>
      <c r="X51" s="55">
        <v>1.4471520899854744</v>
      </c>
      <c r="Y51" s="55">
        <v>39.439385988872232</v>
      </c>
      <c r="Z51" s="55">
        <v>4.7104823175979664</v>
      </c>
      <c r="AA51" s="33" t="s">
        <v>76</v>
      </c>
      <c r="AB51" s="33" t="s">
        <v>82</v>
      </c>
      <c r="AC51" s="33" t="s">
        <v>370</v>
      </c>
    </row>
    <row r="52" spans="1:29" s="33" customFormat="1" x14ac:dyDescent="0.25">
      <c r="A52" s="33">
        <v>14</v>
      </c>
      <c r="B52" s="54"/>
      <c r="E52" s="51" t="s">
        <v>340</v>
      </c>
      <c r="F52" s="51" t="s">
        <v>341</v>
      </c>
      <c r="G52" s="52">
        <v>0.19511718782338983</v>
      </c>
      <c r="H52" s="52">
        <v>0.46649827173624037</v>
      </c>
      <c r="I52" s="52">
        <v>0.18351232767322739</v>
      </c>
      <c r="J52" s="52">
        <v>0.43704072736330801</v>
      </c>
      <c r="K52" s="53">
        <v>26.000184791647417</v>
      </c>
      <c r="L52" s="54">
        <v>25.435638249300172</v>
      </c>
      <c r="M52" s="54">
        <v>40.009985022466303</v>
      </c>
      <c r="N52" s="52">
        <v>0.20339442087207726</v>
      </c>
      <c r="O52" s="55">
        <v>0.81394508670520227</v>
      </c>
      <c r="P52" s="52">
        <v>0.51018646408839774</v>
      </c>
      <c r="Q52" s="56" t="e">
        <v>#N/A</v>
      </c>
      <c r="R52" s="55">
        <v>11.788938984640808</v>
      </c>
      <c r="S52" s="57">
        <v>7522000000</v>
      </c>
      <c r="T52" s="57">
        <v>8029000000</v>
      </c>
      <c r="U52" s="57">
        <v>28663590912</v>
      </c>
      <c r="V52" s="55">
        <v>3.6326425202312138</v>
      </c>
      <c r="W52" s="55">
        <v>4.4889082571428576</v>
      </c>
      <c r="X52" s="55">
        <v>14.757699020699828</v>
      </c>
      <c r="Y52" s="55">
        <v>5.2587160136092166</v>
      </c>
      <c r="Z52" s="55">
        <v>1.3144915892919922</v>
      </c>
      <c r="AA52" s="33" t="s">
        <v>65</v>
      </c>
      <c r="AB52" s="33" t="s">
        <v>79</v>
      </c>
      <c r="AC52" s="33" t="s">
        <v>161</v>
      </c>
    </row>
    <row r="53" spans="1:29" hidden="1" x14ac:dyDescent="0.25">
      <c r="E53" s="1" t="s">
        <v>503</v>
      </c>
      <c r="F53" s="1" t="s">
        <v>504</v>
      </c>
      <c r="G53" s="41">
        <v>0.18490528460217143</v>
      </c>
      <c r="H53" s="41">
        <v>0.46422018348623856</v>
      </c>
      <c r="I53" s="41">
        <v>0.17011196507263834</v>
      </c>
      <c r="J53" s="41">
        <v>0.42582351526809331</v>
      </c>
      <c r="K53" s="42">
        <v>22.322831008038438</v>
      </c>
      <c r="L53" s="28">
        <v>25.140210065535761</v>
      </c>
      <c r="M53" s="28">
        <v>40.389415876185723</v>
      </c>
      <c r="N53" s="41">
        <v>0.20677312775330398</v>
      </c>
      <c r="O53" s="29">
        <v>0.81306387585709128</v>
      </c>
      <c r="P53" s="41">
        <v>0.51018646408839774</v>
      </c>
      <c r="Q53" s="43" t="e">
        <v>#N/A</v>
      </c>
      <c r="R53" s="29">
        <v>11.788938984640808</v>
      </c>
      <c r="S53" s="44">
        <v>7630000000</v>
      </c>
      <c r="T53" s="44">
        <v>8318000000</v>
      </c>
      <c r="U53" s="44">
        <v>7807912960</v>
      </c>
      <c r="V53" s="29">
        <v>1.6430595279682425</v>
      </c>
      <c r="W53" s="29">
        <v>2.0325526571428569</v>
      </c>
      <c r="X53" s="29">
        <v>55.05073631204511</v>
      </c>
      <c r="Y53" s="29">
        <v>2.0947478615744748</v>
      </c>
      <c r="Z53" s="29">
        <v>0.35810720189230066</v>
      </c>
      <c r="AA53" t="s">
        <v>65</v>
      </c>
      <c r="AB53" t="s">
        <v>79</v>
      </c>
      <c r="AC53" t="s">
        <v>168</v>
      </c>
    </row>
    <row r="54" spans="1:29" hidden="1" x14ac:dyDescent="0.25">
      <c r="E54" s="1" t="s">
        <v>457</v>
      </c>
      <c r="F54" s="1" t="s">
        <v>458</v>
      </c>
      <c r="G54" s="41">
        <v>0.15327572894103703</v>
      </c>
      <c r="H54" s="41">
        <v>0.45608791208791211</v>
      </c>
      <c r="I54" s="41">
        <v>0.13328479125904796</v>
      </c>
      <c r="J54" s="41">
        <v>0.39860166724290269</v>
      </c>
      <c r="K54" s="42">
        <v>-2.5500085000283335</v>
      </c>
      <c r="L54" s="28">
        <v>83.669678885967613</v>
      </c>
      <c r="M54" s="28">
        <v>110.7711546477699</v>
      </c>
      <c r="N54" s="41">
        <v>0.32058530096441634</v>
      </c>
      <c r="O54" s="29">
        <v>1.2911601071502163</v>
      </c>
      <c r="P54" s="41">
        <v>0.33863043324948872</v>
      </c>
      <c r="Q54" s="43" t="e">
        <v>#N/A</v>
      </c>
      <c r="R54" s="29">
        <v>15.361575316879415</v>
      </c>
      <c r="S54" s="44">
        <v>22750000000</v>
      </c>
      <c r="T54" s="44">
        <v>26031000000</v>
      </c>
      <c r="U54" s="44">
        <v>10639533056</v>
      </c>
      <c r="V54" s="29">
        <v>2.8815715079332374</v>
      </c>
      <c r="W54" s="29">
        <v>4.3382244541647275</v>
      </c>
      <c r="X54" s="29" t="e">
        <v>#N/A</v>
      </c>
      <c r="Y54" s="29" t="e">
        <v>#N/A</v>
      </c>
      <c r="Z54" s="29">
        <v>1.1012533255203996</v>
      </c>
      <c r="AA54" t="s">
        <v>69</v>
      </c>
      <c r="AB54" t="s">
        <v>159</v>
      </c>
      <c r="AC54" t="s">
        <v>186</v>
      </c>
    </row>
    <row r="55" spans="1:29" s="33" customFormat="1" x14ac:dyDescent="0.25">
      <c r="A55" s="33">
        <v>10</v>
      </c>
      <c r="B55" s="54"/>
      <c r="E55" s="51" t="s">
        <v>561</v>
      </c>
      <c r="F55" s="51" t="s">
        <v>562</v>
      </c>
      <c r="G55" s="52">
        <v>0.51080065194874691</v>
      </c>
      <c r="H55" s="52">
        <v>0.44320332383459143</v>
      </c>
      <c r="I55" s="52">
        <v>0.51080065194874691</v>
      </c>
      <c r="J55" s="52">
        <v>0.44320332383459143</v>
      </c>
      <c r="K55" s="53">
        <v>20.485620206790191</v>
      </c>
      <c r="L55" s="54">
        <v>21.404421186448836</v>
      </c>
      <c r="M55" s="54">
        <v>27.132925533406667</v>
      </c>
      <c r="N55" s="52">
        <v>-5.1437597934774051E-2</v>
      </c>
      <c r="O55" s="55">
        <v>-0.42556689011949889</v>
      </c>
      <c r="P55" s="52">
        <v>0.60086436245166674</v>
      </c>
      <c r="Q55" s="56" t="e">
        <v>#N/A</v>
      </c>
      <c r="R55" s="55">
        <v>25.751659283860523</v>
      </c>
      <c r="S55" s="57">
        <v>183883999.99999997</v>
      </c>
      <c r="T55" s="57">
        <v>183883999.99999997</v>
      </c>
      <c r="U55" s="57">
        <v>2566430720</v>
      </c>
      <c r="V55" s="55">
        <v>29.494931157097056</v>
      </c>
      <c r="W55" s="55">
        <v>36.026026628693486</v>
      </c>
      <c r="X55" s="55" t="e">
        <v>#N/A</v>
      </c>
      <c r="Y55" s="55">
        <v>35.425925925925924</v>
      </c>
      <c r="Z55" s="55">
        <v>6.0187350487210578</v>
      </c>
      <c r="AA55" s="33" t="s">
        <v>77</v>
      </c>
      <c r="AB55" s="33" t="s">
        <v>111</v>
      </c>
      <c r="AC55" s="33" t="s">
        <v>193</v>
      </c>
    </row>
    <row r="56" spans="1:29" hidden="1" x14ac:dyDescent="0.25">
      <c r="E56" s="1" t="s">
        <v>284</v>
      </c>
      <c r="F56" s="1" t="s">
        <v>285</v>
      </c>
      <c r="G56" s="41">
        <v>0.45238533903291456</v>
      </c>
      <c r="H56" s="41">
        <v>0.43850688313944158</v>
      </c>
      <c r="I56" s="41">
        <v>0.2526847442469814</v>
      </c>
      <c r="J56" s="41">
        <v>0.22829473780606463</v>
      </c>
      <c r="K56" s="42" t="e">
        <v>#N/A</v>
      </c>
      <c r="L56" s="28">
        <v>9.565679989594706</v>
      </c>
      <c r="M56" s="28">
        <v>11.394253321617104</v>
      </c>
      <c r="N56" s="41" t="e">
        <v>#N/A</v>
      </c>
      <c r="O56" s="29" t="e">
        <v>#N/A</v>
      </c>
      <c r="P56" s="41">
        <v>0.33746989929947463</v>
      </c>
      <c r="Q56" s="43" t="e">
        <v>#N/A</v>
      </c>
      <c r="R56" s="29" t="e">
        <v>#N/A</v>
      </c>
      <c r="S56" s="44">
        <v>454807000</v>
      </c>
      <c r="T56" s="44">
        <v>873590000</v>
      </c>
      <c r="U56" s="44">
        <v>916585984</v>
      </c>
      <c r="V56" s="29" t="e">
        <v>#N/A</v>
      </c>
      <c r="W56" s="29" t="e">
        <v>#N/A</v>
      </c>
      <c r="X56" s="29" t="e">
        <v>#N/A</v>
      </c>
      <c r="Y56" s="29" t="e">
        <v>#N/A</v>
      </c>
      <c r="Z56" s="29">
        <v>2.9152602295448213</v>
      </c>
      <c r="AA56" t="s">
        <v>91</v>
      </c>
      <c r="AB56" t="s">
        <v>92</v>
      </c>
      <c r="AC56" t="s">
        <v>191</v>
      </c>
    </row>
    <row r="57" spans="1:29" hidden="1" x14ac:dyDescent="0.25">
      <c r="E57" s="1" t="s">
        <v>1053</v>
      </c>
      <c r="F57" s="1" t="s">
        <v>1054</v>
      </c>
      <c r="G57" s="41" t="e">
        <v>#N/A</v>
      </c>
      <c r="H57" s="41">
        <v>0.43373989220110121</v>
      </c>
      <c r="I57" s="41" t="e">
        <v>#N/A</v>
      </c>
      <c r="J57" s="41">
        <v>0.31166247210218906</v>
      </c>
      <c r="K57" s="42">
        <v>40.74183953542677</v>
      </c>
      <c r="L57" s="28" t="e">
        <v>#N/A</v>
      </c>
      <c r="M57" s="28">
        <v>31.086583463338535</v>
      </c>
      <c r="N57" s="41">
        <v>0.54260397412871486</v>
      </c>
      <c r="O57" s="29">
        <v>1.4047047901036311</v>
      </c>
      <c r="P57" s="41">
        <v>0.37131300171149456</v>
      </c>
      <c r="Q57" s="43" t="e">
        <v>#N/A</v>
      </c>
      <c r="R57" s="29" t="e">
        <v>#N/A</v>
      </c>
      <c r="S57" s="44">
        <v>756594000.00000012</v>
      </c>
      <c r="T57" s="44">
        <v>1052950000.0000001</v>
      </c>
      <c r="U57" s="44">
        <v>1185053056</v>
      </c>
      <c r="V57" s="29">
        <v>4.3776078488445034</v>
      </c>
      <c r="W57" s="29">
        <v>5.3162526655798148</v>
      </c>
      <c r="X57" s="29">
        <v>17.563011119731673</v>
      </c>
      <c r="Y57" s="29">
        <v>5.5542054933922307</v>
      </c>
      <c r="Z57" s="29">
        <v>2.3757123793786374</v>
      </c>
      <c r="AA57" t="s">
        <v>66</v>
      </c>
      <c r="AB57" t="s">
        <v>84</v>
      </c>
      <c r="AC57" t="s">
        <v>151</v>
      </c>
    </row>
    <row r="58" spans="1:29" hidden="1" x14ac:dyDescent="0.25">
      <c r="E58" s="1" t="s">
        <v>336</v>
      </c>
      <c r="F58" s="1" t="s">
        <v>337</v>
      </c>
      <c r="G58" s="41">
        <v>0.58014860217217279</v>
      </c>
      <c r="H58" s="41">
        <v>0.43223489649345165</v>
      </c>
      <c r="I58" s="41">
        <v>0.58014860217217279</v>
      </c>
      <c r="J58" s="41">
        <v>0.43223489649345165</v>
      </c>
      <c r="K58" s="42">
        <v>21.258435163231805</v>
      </c>
      <c r="L58" s="28">
        <v>27.080976127852779</v>
      </c>
      <c r="M58" s="28">
        <v>25.288767621646201</v>
      </c>
      <c r="N58" s="41">
        <v>-0.56208413676977809</v>
      </c>
      <c r="O58" s="29">
        <v>-2.3264950539568345</v>
      </c>
      <c r="P58" s="41">
        <v>0.87875125607669535</v>
      </c>
      <c r="Q58" s="43" t="e">
        <v>#N/A</v>
      </c>
      <c r="R58" s="29">
        <v>14.656808949589367</v>
      </c>
      <c r="S58" s="44">
        <v>23670000</v>
      </c>
      <c r="T58" s="44">
        <v>23670000</v>
      </c>
      <c r="U58" s="44">
        <v>320008000</v>
      </c>
      <c r="V58" s="29">
        <v>3.6457351618705034</v>
      </c>
      <c r="W58" s="29">
        <v>3.8288719674163274</v>
      </c>
      <c r="X58" s="29">
        <v>9.3608692685848141</v>
      </c>
      <c r="Y58" s="29">
        <v>9.7009805522343378</v>
      </c>
      <c r="Z58" s="29">
        <v>1.9795153852291585</v>
      </c>
      <c r="AA58" t="s">
        <v>77</v>
      </c>
      <c r="AB58" t="s">
        <v>111</v>
      </c>
      <c r="AC58" t="s">
        <v>214</v>
      </c>
    </row>
    <row r="59" spans="1:29" hidden="1" x14ac:dyDescent="0.25">
      <c r="E59" s="1" t="s">
        <v>1034</v>
      </c>
      <c r="F59" s="1" t="s">
        <v>1035</v>
      </c>
      <c r="G59" s="41" t="e">
        <v>#N/A</v>
      </c>
      <c r="H59" s="41">
        <v>0.42465556858483877</v>
      </c>
      <c r="I59" s="41" t="e">
        <v>#N/A</v>
      </c>
      <c r="J59" s="41">
        <v>0.42465556858483877</v>
      </c>
      <c r="K59" s="42" t="e">
        <v>#N/A</v>
      </c>
      <c r="L59" s="28" t="e">
        <v>#N/A</v>
      </c>
      <c r="M59" s="28" t="e">
        <v>#N/A</v>
      </c>
      <c r="N59" s="41" t="e">
        <v>#N/A</v>
      </c>
      <c r="O59" s="29" t="e">
        <v>#N/A</v>
      </c>
      <c r="P59" s="41">
        <v>0.78531836014829226</v>
      </c>
      <c r="Q59" s="43" t="e">
        <v>#N/A</v>
      </c>
      <c r="R59" s="29" t="e">
        <v>#N/A</v>
      </c>
      <c r="S59" s="44">
        <v>-31101566.800000001</v>
      </c>
      <c r="T59" s="44">
        <v>-31101566.800000001</v>
      </c>
      <c r="U59" s="44">
        <v>483776096</v>
      </c>
      <c r="V59" s="29" t="e">
        <v>#N/A</v>
      </c>
      <c r="W59" s="29" t="e">
        <v>#N/A</v>
      </c>
      <c r="X59" s="29" t="e">
        <v>#N/A</v>
      </c>
      <c r="Y59" s="29" t="e">
        <v>#N/A</v>
      </c>
      <c r="Z59" s="29">
        <v>3.1391928956116999</v>
      </c>
      <c r="AA59" t="s">
        <v>73</v>
      </c>
      <c r="AB59" t="s">
        <v>98</v>
      </c>
      <c r="AC59" t="s">
        <v>99</v>
      </c>
    </row>
    <row r="60" spans="1:29" hidden="1" x14ac:dyDescent="0.25">
      <c r="E60" s="1" t="s">
        <v>449</v>
      </c>
      <c r="F60" s="1" t="s">
        <v>450</v>
      </c>
      <c r="G60" s="41">
        <v>2.1924511229946046E-2</v>
      </c>
      <c r="H60" s="41">
        <v>0.41443097379741883</v>
      </c>
      <c r="I60" s="41">
        <v>-3.3257119713017154E-2</v>
      </c>
      <c r="J60" s="41">
        <v>8.370325903224278E-2</v>
      </c>
      <c r="K60" s="42">
        <v>-0.22691347304742876</v>
      </c>
      <c r="L60" s="28">
        <v>-23.305320690455268</v>
      </c>
      <c r="M60" s="28">
        <v>10.881468612337764</v>
      </c>
      <c r="N60" s="41">
        <v>-4.1471859111541248E-2</v>
      </c>
      <c r="O60" s="29">
        <v>-0.4663371268728207</v>
      </c>
      <c r="P60" s="41">
        <v>0.48915971673307418</v>
      </c>
      <c r="Q60" s="43">
        <v>7.1377082813496348E-2</v>
      </c>
      <c r="R60" s="29">
        <v>459.96367660806072</v>
      </c>
      <c r="S60" s="44">
        <v>51140000</v>
      </c>
      <c r="T60" s="44">
        <v>253204000</v>
      </c>
      <c r="U60" s="44">
        <v>232711920</v>
      </c>
      <c r="V60" s="29">
        <v>8.7052504119247427</v>
      </c>
      <c r="W60" s="29">
        <v>24.111751220547653</v>
      </c>
      <c r="X60" s="29">
        <v>-7.1487528442891968</v>
      </c>
      <c r="Y60" s="29" t="e">
        <v>#N/A</v>
      </c>
      <c r="Z60" s="29">
        <v>1.0345759057988626</v>
      </c>
      <c r="AA60" t="s">
        <v>91</v>
      </c>
      <c r="AB60" t="s">
        <v>94</v>
      </c>
      <c r="AC60" t="s">
        <v>126</v>
      </c>
    </row>
    <row r="61" spans="1:29" hidden="1" x14ac:dyDescent="0.25">
      <c r="E61" s="1" t="s">
        <v>286</v>
      </c>
      <c r="F61" s="1" t="s">
        <v>287</v>
      </c>
      <c r="G61" s="41">
        <v>0.76287866220759559</v>
      </c>
      <c r="H61" s="41">
        <v>0.3743724868253453</v>
      </c>
      <c r="I61" s="41">
        <v>0.45758441357398344</v>
      </c>
      <c r="J61" s="41">
        <v>0.25577714736684937</v>
      </c>
      <c r="K61" s="42">
        <v>16.410131723207915</v>
      </c>
      <c r="L61" s="28">
        <v>11.268788319096711</v>
      </c>
      <c r="M61" s="28">
        <v>11.350683203486385</v>
      </c>
      <c r="N61" s="41">
        <v>0.235996896098284</v>
      </c>
      <c r="O61" s="29">
        <v>1.0603522426449095</v>
      </c>
      <c r="P61" s="41">
        <v>0.39435358573252172</v>
      </c>
      <c r="Q61" s="43" t="e">
        <v>#N/A</v>
      </c>
      <c r="R61" s="29">
        <v>11.555994525655755</v>
      </c>
      <c r="S61" s="44">
        <v>480468000</v>
      </c>
      <c r="T61" s="44">
        <v>703245000</v>
      </c>
      <c r="U61" s="44">
        <v>1774837376</v>
      </c>
      <c r="V61" s="29">
        <v>8.5291254728719714</v>
      </c>
      <c r="W61" s="29">
        <v>13.605493525869878</v>
      </c>
      <c r="X61" s="29">
        <v>7.0752397767850486</v>
      </c>
      <c r="Y61" s="29">
        <v>24.149262003138485</v>
      </c>
      <c r="Z61" s="29">
        <v>3.6865129938151453</v>
      </c>
      <c r="AA61" t="s">
        <v>73</v>
      </c>
      <c r="AB61" t="s">
        <v>180</v>
      </c>
      <c r="AC61" t="s">
        <v>247</v>
      </c>
    </row>
    <row r="62" spans="1:29" hidden="1" x14ac:dyDescent="0.25">
      <c r="E62" s="1" t="s">
        <v>477</v>
      </c>
      <c r="F62" s="1" t="s">
        <v>478</v>
      </c>
      <c r="G62" s="41">
        <v>0.26416762222707263</v>
      </c>
      <c r="H62" s="41">
        <v>0.36511121884124964</v>
      </c>
      <c r="I62" s="41">
        <v>0.26416762222707263</v>
      </c>
      <c r="J62" s="41">
        <v>0.36511121884124964</v>
      </c>
      <c r="K62" s="42">
        <v>24.512727776521974</v>
      </c>
      <c r="L62" s="28">
        <v>8.5500502376713889</v>
      </c>
      <c r="M62" s="28">
        <v>11.61219668774415</v>
      </c>
      <c r="N62" s="41">
        <v>0.27920015257063058</v>
      </c>
      <c r="O62" s="29">
        <v>1.271111277086387</v>
      </c>
      <c r="P62" s="41">
        <v>0.56221867226639155</v>
      </c>
      <c r="Q62" s="43" t="e">
        <v>#N/A</v>
      </c>
      <c r="R62" s="29">
        <v>-2.8409138369417883</v>
      </c>
      <c r="S62" s="44">
        <v>266097000</v>
      </c>
      <c r="T62" s="44">
        <v>266097000</v>
      </c>
      <c r="U62" s="44">
        <v>226139696</v>
      </c>
      <c r="V62" s="29">
        <v>3.3823761891869184</v>
      </c>
      <c r="W62" s="29">
        <v>3.8942900323548066</v>
      </c>
      <c r="X62" s="29">
        <v>15.386506931538465</v>
      </c>
      <c r="Y62" s="29">
        <v>3.1578053236672421</v>
      </c>
      <c r="Z62" s="29">
        <v>0.82563201775071193</v>
      </c>
      <c r="AA62" t="s">
        <v>76</v>
      </c>
      <c r="AB62" t="s">
        <v>95</v>
      </c>
      <c r="AC62" t="s">
        <v>95</v>
      </c>
    </row>
    <row r="63" spans="1:29" hidden="1" x14ac:dyDescent="0.25">
      <c r="E63" s="1" t="s">
        <v>639</v>
      </c>
      <c r="F63" s="1" t="s">
        <v>640</v>
      </c>
      <c r="G63" s="41">
        <v>0.24583492883551411</v>
      </c>
      <c r="H63" s="41">
        <v>0.35964554899164797</v>
      </c>
      <c r="I63" s="41">
        <v>9.5550731541759887E-2</v>
      </c>
      <c r="J63" s="41">
        <v>0.12862919383629012</v>
      </c>
      <c r="K63" s="42">
        <v>-27.758095593262478</v>
      </c>
      <c r="L63" s="28">
        <v>29.526895227496965</v>
      </c>
      <c r="M63" s="28">
        <v>32.422110552763819</v>
      </c>
      <c r="N63" s="41">
        <v>0.70627863109673938</v>
      </c>
      <c r="O63" s="29">
        <v>121.50331125827815</v>
      </c>
      <c r="P63" s="41">
        <v>0.17886065668871098</v>
      </c>
      <c r="Q63" s="43" t="e">
        <v>#N/A</v>
      </c>
      <c r="R63" s="29">
        <v>-6.1421603656470127</v>
      </c>
      <c r="S63" s="44">
        <v>9818000000</v>
      </c>
      <c r="T63" s="44">
        <v>27451000000</v>
      </c>
      <c r="U63" s="44">
        <v>42575421440</v>
      </c>
      <c r="V63" s="29">
        <v>200.2346701986755</v>
      </c>
      <c r="W63" s="29" t="e">
        <v>#N/A</v>
      </c>
      <c r="X63" s="29">
        <v>10.442971440422822</v>
      </c>
      <c r="Y63" s="29">
        <v>6.1914687196628346</v>
      </c>
      <c r="Z63" s="29">
        <v>1.6012459297934727</v>
      </c>
      <c r="AA63" t="s">
        <v>73</v>
      </c>
      <c r="AB63" t="s">
        <v>96</v>
      </c>
      <c r="AC63" t="s">
        <v>154</v>
      </c>
    </row>
    <row r="64" spans="1:29" hidden="1" x14ac:dyDescent="0.25">
      <c r="E64" s="1" t="s">
        <v>350</v>
      </c>
      <c r="F64" s="1" t="s">
        <v>351</v>
      </c>
      <c r="G64" s="41">
        <v>0.39734552531408485</v>
      </c>
      <c r="H64" s="41">
        <v>0.35592501484434641</v>
      </c>
      <c r="I64" s="41">
        <v>0.39622040528692559</v>
      </c>
      <c r="J64" s="41">
        <v>0.35029941470855014</v>
      </c>
      <c r="K64" s="42">
        <v>13.226026172030878</v>
      </c>
      <c r="L64" s="28">
        <v>21.100869090580588</v>
      </c>
      <c r="M64" s="28">
        <v>23.527867935599808</v>
      </c>
      <c r="N64" s="41">
        <v>-0.20397947257496951</v>
      </c>
      <c r="O64" s="29">
        <v>-1.1619033377198229</v>
      </c>
      <c r="P64" s="41">
        <v>0.6284968497600314</v>
      </c>
      <c r="Q64" s="43" t="e">
        <v>#N/A</v>
      </c>
      <c r="R64" s="29">
        <v>11.147907789053896</v>
      </c>
      <c r="S64" s="44">
        <v>436193000</v>
      </c>
      <c r="T64" s="44">
        <v>443198000</v>
      </c>
      <c r="U64" s="44">
        <v>829598144</v>
      </c>
      <c r="V64" s="29">
        <v>3.8004016269888741</v>
      </c>
      <c r="W64" s="29">
        <v>5.4276610227408639</v>
      </c>
      <c r="X64" s="29">
        <v>6.0632970750715662</v>
      </c>
      <c r="Y64" s="29">
        <v>13.186489938309112</v>
      </c>
      <c r="Z64" s="29">
        <v>1.4041917505208057</v>
      </c>
      <c r="AA64" t="s">
        <v>73</v>
      </c>
      <c r="AB64" t="s">
        <v>203</v>
      </c>
      <c r="AC64" t="s">
        <v>204</v>
      </c>
    </row>
    <row r="65" spans="5:29" hidden="1" x14ac:dyDescent="0.25">
      <c r="E65" s="1" t="s">
        <v>453</v>
      </c>
      <c r="F65" s="1" t="s">
        <v>454</v>
      </c>
      <c r="G65" s="41">
        <v>0.28042896005406936</v>
      </c>
      <c r="H65" s="41">
        <v>0.3483856490403654</v>
      </c>
      <c r="I65" s="41">
        <v>0.28042896005406936</v>
      </c>
      <c r="J65" s="41">
        <v>0.3483856490403654</v>
      </c>
      <c r="K65" s="42">
        <v>31.855985341535092</v>
      </c>
      <c r="L65" s="28">
        <v>23.735526225446009</v>
      </c>
      <c r="M65" s="28">
        <v>24.418724279835391</v>
      </c>
      <c r="N65" s="41">
        <v>-7.1045180352086665E-2</v>
      </c>
      <c r="O65" s="29">
        <v>-0.23439816413151643</v>
      </c>
      <c r="P65" s="41">
        <v>0.52637572325495507</v>
      </c>
      <c r="Q65" s="43" t="e">
        <v>#N/A</v>
      </c>
      <c r="R65" s="29">
        <v>3.6550813569623317</v>
      </c>
      <c r="S65" s="44">
        <v>75758000</v>
      </c>
      <c r="T65" s="44">
        <v>75758000</v>
      </c>
      <c r="U65" s="44">
        <v>409610688</v>
      </c>
      <c r="V65" s="29">
        <v>8.0840902499949223</v>
      </c>
      <c r="W65" s="29">
        <v>10.588622865350853</v>
      </c>
      <c r="X65" s="29">
        <v>8.2834752593174521</v>
      </c>
      <c r="Y65" s="29">
        <v>15.343942771240476</v>
      </c>
      <c r="Z65" s="29">
        <v>4.7798799274980999</v>
      </c>
      <c r="AA65" t="s">
        <v>77</v>
      </c>
      <c r="AB65" t="s">
        <v>97</v>
      </c>
      <c r="AC65" t="s">
        <v>198</v>
      </c>
    </row>
    <row r="66" spans="5:29" hidden="1" x14ac:dyDescent="0.25">
      <c r="E66" s="1" t="s">
        <v>497</v>
      </c>
      <c r="F66" s="1" t="s">
        <v>498</v>
      </c>
      <c r="G66" s="41">
        <v>0.40346986732841145</v>
      </c>
      <c r="H66" s="41">
        <v>0.34379961269387116</v>
      </c>
      <c r="I66" s="41">
        <v>0.37927268025388211</v>
      </c>
      <c r="J66" s="41">
        <v>0.32799334234890259</v>
      </c>
      <c r="K66" s="42">
        <v>10.306102129226423</v>
      </c>
      <c r="L66" s="28">
        <v>20.433920581633782</v>
      </c>
      <c r="M66" s="28">
        <v>22.124391554284596</v>
      </c>
      <c r="N66" s="41">
        <v>-0.33381698955270905</v>
      </c>
      <c r="O66" s="29">
        <v>-2.2813084921072848</v>
      </c>
      <c r="P66" s="41">
        <v>0.74332499346502856</v>
      </c>
      <c r="Q66" s="43" t="e">
        <v>#N/A</v>
      </c>
      <c r="R66" s="29">
        <v>-1.0375388149568816</v>
      </c>
      <c r="S66" s="44">
        <v>458551999.99999994</v>
      </c>
      <c r="T66" s="44">
        <v>480649999.99999994</v>
      </c>
      <c r="U66" s="44">
        <v>1056009728</v>
      </c>
      <c r="V66" s="29">
        <v>4.8791518062903698</v>
      </c>
      <c r="W66" s="29">
        <v>8.3660058807706221</v>
      </c>
      <c r="X66" s="29">
        <v>8.1771027018417772</v>
      </c>
      <c r="Y66" s="29">
        <v>19.362155090417922</v>
      </c>
      <c r="Z66" s="29">
        <v>1.5138735635342246</v>
      </c>
      <c r="AA66" t="s">
        <v>145</v>
      </c>
      <c r="AB66" t="s">
        <v>146</v>
      </c>
      <c r="AC66" t="s">
        <v>147</v>
      </c>
    </row>
    <row r="67" spans="5:29" hidden="1" x14ac:dyDescent="0.25">
      <c r="E67" s="1" t="s">
        <v>712</v>
      </c>
      <c r="F67" s="1" t="s">
        <v>713</v>
      </c>
      <c r="G67" s="41">
        <v>0.7895398884963053</v>
      </c>
      <c r="H67" s="41">
        <v>0.33240908347913478</v>
      </c>
      <c r="I67" s="41">
        <v>0.78059777797122898</v>
      </c>
      <c r="J67" s="41">
        <v>0.32981733212395709</v>
      </c>
      <c r="K67" s="42">
        <v>21.919586393591764</v>
      </c>
      <c r="L67" s="28">
        <v>25.236927419904685</v>
      </c>
      <c r="M67" s="28">
        <v>16.95962737329414</v>
      </c>
      <c r="N67" s="41">
        <v>-3.1563977608290009E-2</v>
      </c>
      <c r="O67" s="29">
        <v>-0.21846200142941333</v>
      </c>
      <c r="P67" s="41">
        <v>0.5417540232211796</v>
      </c>
      <c r="Q67" s="43" t="e">
        <v>#N/A</v>
      </c>
      <c r="R67" s="29">
        <v>29.829820334838338</v>
      </c>
      <c r="S67" s="44">
        <v>165179000</v>
      </c>
      <c r="T67" s="44">
        <v>166477000</v>
      </c>
      <c r="U67" s="44">
        <v>533039520</v>
      </c>
      <c r="V67" s="29">
        <v>7.1442017228192043</v>
      </c>
      <c r="W67" s="29">
        <v>7.9376369791448989</v>
      </c>
      <c r="X67" s="29">
        <v>-10.187424752296039</v>
      </c>
      <c r="Y67" s="29">
        <v>14.485301735550193</v>
      </c>
      <c r="Z67" s="29">
        <v>2.182468958553041</v>
      </c>
      <c r="AA67" t="s">
        <v>66</v>
      </c>
      <c r="AB67" t="s">
        <v>84</v>
      </c>
      <c r="AC67" t="s">
        <v>151</v>
      </c>
    </row>
    <row r="68" spans="5:29" hidden="1" x14ac:dyDescent="0.25">
      <c r="E68" s="1" t="s">
        <v>545</v>
      </c>
      <c r="F68" s="1" t="s">
        <v>546</v>
      </c>
      <c r="G68" s="41">
        <v>0.30946624191710248</v>
      </c>
      <c r="H68" s="41">
        <v>0.32369013179042111</v>
      </c>
      <c r="I68" s="41">
        <v>0.27951414630213611</v>
      </c>
      <c r="J68" s="41">
        <v>0.29420952680608153</v>
      </c>
      <c r="K68" s="42" t="e">
        <v>#N/A</v>
      </c>
      <c r="L68" s="28">
        <v>28.313962598173077</v>
      </c>
      <c r="M68" s="28">
        <v>28.583417332801989</v>
      </c>
      <c r="N68" s="41">
        <v>3.7579177594516039E-2</v>
      </c>
      <c r="O68" s="29" t="e">
        <v>#N/A</v>
      </c>
      <c r="P68" s="41">
        <v>0.7526571108720943</v>
      </c>
      <c r="Q68" s="43" t="e">
        <v>#N/A</v>
      </c>
      <c r="R68" s="29" t="e">
        <v>#N/A</v>
      </c>
      <c r="S68" s="44">
        <v>161772000</v>
      </c>
      <c r="T68" s="44">
        <v>177982000</v>
      </c>
      <c r="U68" s="44">
        <v>441535648</v>
      </c>
      <c r="V68" s="29" t="e">
        <v>#N/A</v>
      </c>
      <c r="W68" s="29" t="e">
        <v>#N/A</v>
      </c>
      <c r="X68" s="29" t="e">
        <v>#N/A</v>
      </c>
      <c r="Y68" s="29" t="e">
        <v>#N/A</v>
      </c>
      <c r="Z68" s="29">
        <v>2.5969606635402811</v>
      </c>
      <c r="AA68" t="s">
        <v>77</v>
      </c>
      <c r="AB68" t="s">
        <v>83</v>
      </c>
      <c r="AC68" t="s">
        <v>194</v>
      </c>
    </row>
    <row r="69" spans="5:29" hidden="1" x14ac:dyDescent="0.25">
      <c r="E69" s="1" t="s">
        <v>338</v>
      </c>
      <c r="F69" s="1" t="s">
        <v>339</v>
      </c>
      <c r="G69" s="41" t="e">
        <v>#N/A</v>
      </c>
      <c r="H69" s="41">
        <v>0.31746396810794236</v>
      </c>
      <c r="I69" s="41" t="e">
        <v>#N/A</v>
      </c>
      <c r="J69" s="41">
        <v>0.31746396810794236</v>
      </c>
      <c r="K69" s="42" t="e">
        <v>#N/A</v>
      </c>
      <c r="L69" s="28">
        <v>25.040763364497685</v>
      </c>
      <c r="M69" s="28">
        <v>34.923585405964246</v>
      </c>
      <c r="N69" s="41" t="e">
        <v>#N/A</v>
      </c>
      <c r="O69" s="29" t="e">
        <v>#N/A</v>
      </c>
      <c r="P69" s="41">
        <v>0.37217251969555348</v>
      </c>
      <c r="Q69" s="43" t="e">
        <v>#N/A</v>
      </c>
      <c r="R69" s="29" t="e">
        <v>#N/A</v>
      </c>
      <c r="S69" s="44">
        <v>613068000</v>
      </c>
      <c r="T69" s="44">
        <v>613068000</v>
      </c>
      <c r="U69" s="44">
        <v>456185344</v>
      </c>
      <c r="V69" s="29" t="e">
        <v>#N/A</v>
      </c>
      <c r="W69" s="29" t="e">
        <v>#N/A</v>
      </c>
      <c r="X69" s="29" t="e">
        <v>#N/A</v>
      </c>
      <c r="Y69" s="29" t="e">
        <v>#N/A</v>
      </c>
      <c r="Z69" s="29">
        <v>0.92385160878300798</v>
      </c>
      <c r="AA69" t="s">
        <v>66</v>
      </c>
      <c r="AB69" t="s">
        <v>78</v>
      </c>
      <c r="AC69" t="s">
        <v>121</v>
      </c>
    </row>
    <row r="70" spans="5:29" hidden="1" x14ac:dyDescent="0.25">
      <c r="E70" s="1" t="s">
        <v>397</v>
      </c>
      <c r="F70" s="1" t="s">
        <v>398</v>
      </c>
      <c r="G70" s="41">
        <v>0.18419191647362895</v>
      </c>
      <c r="H70" s="41">
        <v>0.31724515739349074</v>
      </c>
      <c r="I70" s="41">
        <v>0.17897317003971863</v>
      </c>
      <c r="J70" s="41">
        <v>0.30837219939627225</v>
      </c>
      <c r="K70" s="42">
        <v>15.499683588586983</v>
      </c>
      <c r="L70" s="28">
        <v>11.338007497266478</v>
      </c>
      <c r="M70" s="28">
        <v>17.787855855360018</v>
      </c>
      <c r="N70" s="41">
        <v>4.8720101787372593E-2</v>
      </c>
      <c r="O70" s="29">
        <v>0.30777433038979424</v>
      </c>
      <c r="P70" s="41">
        <v>0.61233930539964698</v>
      </c>
      <c r="Q70" s="43" t="e">
        <v>#N/A</v>
      </c>
      <c r="R70" s="29">
        <v>7.4764601032441593</v>
      </c>
      <c r="S70" s="44">
        <v>854292000</v>
      </c>
      <c r="T70" s="44">
        <v>878873000</v>
      </c>
      <c r="U70" s="44">
        <v>818842240</v>
      </c>
      <c r="V70" s="29">
        <v>3.9005544734350099</v>
      </c>
      <c r="W70" s="29">
        <v>5.0066369875535486</v>
      </c>
      <c r="X70" s="29">
        <v>-10.300763184859639</v>
      </c>
      <c r="Y70" s="29">
        <v>5.523920266985451</v>
      </c>
      <c r="Z70" s="29">
        <v>0.89633608212726656</v>
      </c>
      <c r="AA70" t="s">
        <v>65</v>
      </c>
      <c r="AB70" t="s">
        <v>79</v>
      </c>
      <c r="AC70" t="s">
        <v>224</v>
      </c>
    </row>
    <row r="71" spans="5:29" hidden="1" x14ac:dyDescent="0.25">
      <c r="E71" s="1" t="s">
        <v>348</v>
      </c>
      <c r="F71" s="1" t="s">
        <v>349</v>
      </c>
      <c r="G71" s="41">
        <v>0.26263019938578036</v>
      </c>
      <c r="H71" s="41">
        <v>0.3055904767992727</v>
      </c>
      <c r="I71" s="41">
        <v>0.26263019938578036</v>
      </c>
      <c r="J71" s="41">
        <v>0.3055904767992727</v>
      </c>
      <c r="K71" s="42">
        <v>1.2416826575622399</v>
      </c>
      <c r="L71" s="28">
        <v>28.555294972917629</v>
      </c>
      <c r="M71" s="28">
        <v>32.540605574493682</v>
      </c>
      <c r="N71" s="41">
        <v>-8.6922712104833627E-2</v>
      </c>
      <c r="O71" s="29">
        <v>-0.90890407898851788</v>
      </c>
      <c r="P71" s="41">
        <v>0.69016906860587834</v>
      </c>
      <c r="Q71" s="43" t="e">
        <v>#N/A</v>
      </c>
      <c r="R71" s="29">
        <v>11.097407302836553</v>
      </c>
      <c r="S71" s="44">
        <v>140793000</v>
      </c>
      <c r="T71" s="44">
        <v>140793000</v>
      </c>
      <c r="U71" s="44">
        <v>355517280</v>
      </c>
      <c r="V71" s="29">
        <v>14.974457400705893</v>
      </c>
      <c r="W71" s="29">
        <v>19.027719557195571</v>
      </c>
      <c r="X71" s="29">
        <v>1.2030357567992191</v>
      </c>
      <c r="Y71" s="29">
        <v>178.51375046142491</v>
      </c>
      <c r="Z71" s="29">
        <v>2.2287786073347697</v>
      </c>
      <c r="AA71" t="s">
        <v>66</v>
      </c>
      <c r="AB71" t="s">
        <v>84</v>
      </c>
      <c r="AC71" t="s">
        <v>151</v>
      </c>
    </row>
    <row r="72" spans="5:29" hidden="1" x14ac:dyDescent="0.25">
      <c r="E72" s="1" t="s">
        <v>557</v>
      </c>
      <c r="F72" s="1" t="s">
        <v>558</v>
      </c>
      <c r="G72" s="41">
        <v>0.14658840292489156</v>
      </c>
      <c r="H72" s="41">
        <v>0.30111883926654737</v>
      </c>
      <c r="I72" s="41">
        <v>0.13376921724037913</v>
      </c>
      <c r="J72" s="41">
        <v>0.27460889553410517</v>
      </c>
      <c r="K72" s="42">
        <v>45.018370691281753</v>
      </c>
      <c r="L72" s="28">
        <v>16.075465505658897</v>
      </c>
      <c r="M72" s="28">
        <v>25.117768268401672</v>
      </c>
      <c r="N72" s="41">
        <v>0.49078075914020863</v>
      </c>
      <c r="O72" s="29">
        <v>3.6275256327918259</v>
      </c>
      <c r="P72" s="41">
        <v>0.29940979083969871</v>
      </c>
      <c r="Q72" s="43" t="e">
        <v>#N/A</v>
      </c>
      <c r="R72" s="29">
        <v>11.933552058736201</v>
      </c>
      <c r="S72" s="44">
        <v>3712687000</v>
      </c>
      <c r="T72" s="44">
        <v>4071099000</v>
      </c>
      <c r="U72" s="44">
        <v>2109227136</v>
      </c>
      <c r="V72" s="29">
        <v>6.5284075838800701</v>
      </c>
      <c r="W72" s="29">
        <v>8.3497273494020519</v>
      </c>
      <c r="X72" s="29">
        <v>36.51062452479276</v>
      </c>
      <c r="Y72" s="29">
        <v>3.8362599359921696</v>
      </c>
      <c r="Z72" s="29">
        <v>1.4793324827382728</v>
      </c>
      <c r="AA72" t="s">
        <v>76</v>
      </c>
      <c r="AB72" t="s">
        <v>82</v>
      </c>
      <c r="AC72" t="s">
        <v>219</v>
      </c>
    </row>
    <row r="73" spans="5:29" hidden="1" x14ac:dyDescent="0.25">
      <c r="E73" s="1" t="s">
        <v>964</v>
      </c>
      <c r="F73" s="1" t="s">
        <v>965</v>
      </c>
      <c r="G73" s="41" t="e">
        <v>#N/A</v>
      </c>
      <c r="H73" s="41">
        <v>0.29329447458098618</v>
      </c>
      <c r="I73" s="41" t="e">
        <v>#N/A</v>
      </c>
      <c r="J73" s="41">
        <v>0.28859050356266092</v>
      </c>
      <c r="K73" s="42">
        <v>18.590235413476147</v>
      </c>
      <c r="L73" s="28">
        <v>20.706058690976924</v>
      </c>
      <c r="M73" s="28">
        <v>24.23478883633047</v>
      </c>
      <c r="N73" s="41">
        <v>-4.1641848622791439E-2</v>
      </c>
      <c r="O73" s="29">
        <v>-0.18358489196886954</v>
      </c>
      <c r="P73" s="41">
        <v>0.52681111706607453</v>
      </c>
      <c r="Q73" s="43" t="e">
        <v>#N/A</v>
      </c>
      <c r="R73" s="29" t="e">
        <v>#N/A</v>
      </c>
      <c r="S73" s="44">
        <v>460128000</v>
      </c>
      <c r="T73" s="44">
        <v>467628000</v>
      </c>
      <c r="U73" s="44">
        <v>1091250048</v>
      </c>
      <c r="V73" s="29">
        <v>4.765574478892658</v>
      </c>
      <c r="W73" s="29">
        <v>8.0687649105024306</v>
      </c>
      <c r="X73" s="29">
        <v>9.3419468972156228</v>
      </c>
      <c r="Y73" s="29">
        <v>13.336018152291798</v>
      </c>
      <c r="Z73" s="29">
        <v>2.1272122328994612</v>
      </c>
      <c r="AA73" t="s">
        <v>76</v>
      </c>
      <c r="AB73" t="s">
        <v>167</v>
      </c>
      <c r="AC73" t="s">
        <v>183</v>
      </c>
    </row>
    <row r="74" spans="5:29" hidden="1" x14ac:dyDescent="0.25">
      <c r="E74" s="1" t="s">
        <v>328</v>
      </c>
      <c r="F74" s="1" t="s">
        <v>329</v>
      </c>
      <c r="G74" s="41">
        <v>0.10824447458463268</v>
      </c>
      <c r="H74" s="41">
        <v>0.27667276733850898</v>
      </c>
      <c r="I74" s="41">
        <v>0.10824447458463268</v>
      </c>
      <c r="J74" s="41">
        <v>0.27667276733850898</v>
      </c>
      <c r="K74" s="42">
        <v>40.362729815164549</v>
      </c>
      <c r="L74" s="28" t="e">
        <v>#N/A</v>
      </c>
      <c r="M74" s="28">
        <v>83.769833505697335</v>
      </c>
      <c r="N74" s="41">
        <v>0.39323226975731973</v>
      </c>
      <c r="O74" s="29">
        <v>1.7266287825728117</v>
      </c>
      <c r="P74" s="41">
        <v>0.33739927125240776</v>
      </c>
      <c r="Q74" s="43" t="e">
        <v>#N/A</v>
      </c>
      <c r="R74" s="29" t="e">
        <v>#N/A</v>
      </c>
      <c r="S74" s="44">
        <v>867663999.99999976</v>
      </c>
      <c r="T74" s="44">
        <v>867663999.99999976</v>
      </c>
      <c r="U74" s="44">
        <v>3597511424</v>
      </c>
      <c r="V74" s="29">
        <v>5.3198554397495261</v>
      </c>
      <c r="W74" s="29">
        <v>5.9606490797181673</v>
      </c>
      <c r="X74" s="29">
        <v>15.761375997783931</v>
      </c>
      <c r="Y74" s="29">
        <v>6.6756358019634305</v>
      </c>
      <c r="Z74" s="29">
        <v>2.4218535843662412</v>
      </c>
      <c r="AA74" t="s">
        <v>69</v>
      </c>
      <c r="AB74" t="s">
        <v>159</v>
      </c>
      <c r="AC74" t="s">
        <v>186</v>
      </c>
    </row>
    <row r="75" spans="5:29" hidden="1" x14ac:dyDescent="0.25">
      <c r="E75" s="1" t="s">
        <v>665</v>
      </c>
      <c r="F75" s="1" t="s">
        <v>666</v>
      </c>
      <c r="G75" s="41">
        <v>0.1901612218814257</v>
      </c>
      <c r="H75" s="41">
        <v>0.27320729481588812</v>
      </c>
      <c r="I75" s="41">
        <v>-5.3064409033211009</v>
      </c>
      <c r="J75" s="41">
        <v>0.15643104290685733</v>
      </c>
      <c r="K75" s="42">
        <v>5.9915101205072228</v>
      </c>
      <c r="L75" s="28">
        <v>7.7327926894829373</v>
      </c>
      <c r="M75" s="28">
        <v>8.1557798042241476</v>
      </c>
      <c r="N75" s="41">
        <v>-4.2948191581538037E-2</v>
      </c>
      <c r="O75" s="29">
        <v>-0.90129993658845908</v>
      </c>
      <c r="P75" s="41">
        <v>0.15715032423571765</v>
      </c>
      <c r="Q75" s="43" t="e">
        <v>#N/A</v>
      </c>
      <c r="R75" s="29">
        <v>12.423128959631574</v>
      </c>
      <c r="S75" s="44">
        <v>287108000</v>
      </c>
      <c r="T75" s="44">
        <v>501435000</v>
      </c>
      <c r="U75" s="44">
        <v>922356160</v>
      </c>
      <c r="V75" s="29">
        <v>6.6434698795180722</v>
      </c>
      <c r="W75" s="29">
        <v>10.71982400941345</v>
      </c>
      <c r="X75" s="29">
        <v>23.034485940875591</v>
      </c>
      <c r="Y75" s="29">
        <v>37.12330104162676</v>
      </c>
      <c r="Z75" s="29">
        <v>2.2027214529835137</v>
      </c>
      <c r="AA75" t="s">
        <v>73</v>
      </c>
      <c r="AB75" t="s">
        <v>96</v>
      </c>
      <c r="AC75" t="s">
        <v>200</v>
      </c>
    </row>
    <row r="76" spans="5:29" hidden="1" x14ac:dyDescent="0.25">
      <c r="E76" s="1" t="s">
        <v>678</v>
      </c>
      <c r="F76" s="1" t="s">
        <v>679</v>
      </c>
      <c r="G76" s="41">
        <v>0.15161719391278294</v>
      </c>
      <c r="H76" s="41">
        <v>0.2667603577762554</v>
      </c>
      <c r="I76" s="41">
        <v>0.15137325925612466</v>
      </c>
      <c r="J76" s="41">
        <v>0.26634086158291409</v>
      </c>
      <c r="K76" s="42">
        <v>10.247372260173732</v>
      </c>
      <c r="L76" s="28">
        <v>29.306886395852473</v>
      </c>
      <c r="M76" s="28">
        <v>37.301910468102079</v>
      </c>
      <c r="N76" s="41">
        <v>-0.130274046912011</v>
      </c>
      <c r="O76" s="29">
        <v>-2.2229851694609311</v>
      </c>
      <c r="P76" s="41">
        <v>0.26002132151061208</v>
      </c>
      <c r="Q76" s="43" t="e">
        <v>#N/A</v>
      </c>
      <c r="R76" s="29">
        <v>8.0348837452730386</v>
      </c>
      <c r="S76" s="44">
        <v>312374000</v>
      </c>
      <c r="T76" s="44">
        <v>312866000</v>
      </c>
      <c r="U76" s="44">
        <v>1945565440</v>
      </c>
      <c r="V76" s="29">
        <v>11.824621582983148</v>
      </c>
      <c r="W76" s="29">
        <v>18.946152084128691</v>
      </c>
      <c r="X76" s="29">
        <v>6.4168491808736077</v>
      </c>
      <c r="Y76" s="29">
        <v>32.110982350335824</v>
      </c>
      <c r="Z76" s="29">
        <v>3.2281490265049029</v>
      </c>
      <c r="AA76" t="s">
        <v>66</v>
      </c>
      <c r="AB76" t="s">
        <v>84</v>
      </c>
      <c r="AC76" t="s">
        <v>165</v>
      </c>
    </row>
    <row r="77" spans="5:29" hidden="1" x14ac:dyDescent="0.25">
      <c r="E77" s="1" t="s">
        <v>591</v>
      </c>
      <c r="F77" s="1" t="s">
        <v>592</v>
      </c>
      <c r="G77" s="41">
        <v>8.7350879217234167E-2</v>
      </c>
      <c r="H77" s="41">
        <v>0.26256031791087142</v>
      </c>
      <c r="I77" s="41">
        <v>7.1703600546457205E-2</v>
      </c>
      <c r="J77" s="41">
        <v>0.21022727272727273</v>
      </c>
      <c r="K77" s="42">
        <v>-8.5197018104366348E-2</v>
      </c>
      <c r="L77" s="28">
        <v>47.491268162589812</v>
      </c>
      <c r="M77" s="28">
        <v>104.29175005559262</v>
      </c>
      <c r="N77" s="41">
        <v>0.5678434409207701</v>
      </c>
      <c r="O77" s="29">
        <v>8.4201461377870572</v>
      </c>
      <c r="P77" s="41">
        <v>0.2592389315770216</v>
      </c>
      <c r="Q77" s="43" t="e">
        <v>#N/A</v>
      </c>
      <c r="R77" s="29">
        <v>7.0068658401574009</v>
      </c>
      <c r="S77" s="44">
        <v>17615000000</v>
      </c>
      <c r="T77" s="44">
        <v>22000000000</v>
      </c>
      <c r="U77" s="44">
        <v>530285056</v>
      </c>
      <c r="V77" s="29">
        <v>11.873843974947809</v>
      </c>
      <c r="W77" s="29">
        <v>12.330777808130081</v>
      </c>
      <c r="X77" s="29" t="e">
        <v>#N/A</v>
      </c>
      <c r="Y77" s="29">
        <v>0.40030576139801644</v>
      </c>
      <c r="Z77" s="29">
        <v>0.22092757304347826</v>
      </c>
      <c r="AA77" t="s">
        <v>66</v>
      </c>
      <c r="AB77" t="s">
        <v>110</v>
      </c>
      <c r="AC77" t="s">
        <v>110</v>
      </c>
    </row>
    <row r="78" spans="5:29" hidden="1" x14ac:dyDescent="0.25">
      <c r="E78" s="1" t="s">
        <v>415</v>
      </c>
      <c r="F78" s="1" t="s">
        <v>416</v>
      </c>
      <c r="G78" s="41">
        <v>0.19163187805000795</v>
      </c>
      <c r="H78" s="41">
        <v>0.26183625372279029</v>
      </c>
      <c r="I78" s="41">
        <v>0.17844455394491462</v>
      </c>
      <c r="J78" s="41">
        <v>0.23506065584757871</v>
      </c>
      <c r="K78" s="42" t="e">
        <v>#N/A</v>
      </c>
      <c r="L78" s="28">
        <v>23.911614257059213</v>
      </c>
      <c r="M78" s="28">
        <v>27.08384975430512</v>
      </c>
      <c r="N78" s="41" t="e">
        <v>#N/A</v>
      </c>
      <c r="O78" s="29" t="e">
        <v>#N/A</v>
      </c>
      <c r="P78" s="41">
        <v>0.62453406113261967</v>
      </c>
      <c r="Q78" s="43" t="e">
        <v>#N/A</v>
      </c>
      <c r="R78" s="29" t="e">
        <v>#N/A</v>
      </c>
      <c r="S78" s="44">
        <v>495596000</v>
      </c>
      <c r="T78" s="44">
        <v>552049000</v>
      </c>
      <c r="U78" s="44">
        <v>1404027776</v>
      </c>
      <c r="V78" s="29" t="e">
        <v>#N/A</v>
      </c>
      <c r="W78" s="29" t="e">
        <v>#N/A</v>
      </c>
      <c r="X78" s="29" t="e">
        <v>#N/A</v>
      </c>
      <c r="Y78" s="29" t="e">
        <v>#N/A</v>
      </c>
      <c r="Z78" s="29">
        <v>2.2079074240060268</v>
      </c>
      <c r="AA78" t="s">
        <v>66</v>
      </c>
      <c r="AB78" t="s">
        <v>84</v>
      </c>
      <c r="AC78" t="s">
        <v>151</v>
      </c>
    </row>
    <row r="79" spans="5:29" hidden="1" x14ac:dyDescent="0.25">
      <c r="E79" s="1" t="s">
        <v>491</v>
      </c>
      <c r="F79" s="1" t="s">
        <v>492</v>
      </c>
      <c r="G79" s="41">
        <v>0.15183615689552601</v>
      </c>
      <c r="H79" s="41">
        <v>0.26079739094704202</v>
      </c>
      <c r="I79" s="41">
        <v>0.15081675257075519</v>
      </c>
      <c r="J79" s="41">
        <v>0.259230943481708</v>
      </c>
      <c r="K79" s="42">
        <v>7.898956899220531</v>
      </c>
      <c r="L79" s="28">
        <v>29.094568974842172</v>
      </c>
      <c r="M79" s="28">
        <v>35.802037894295104</v>
      </c>
      <c r="N79" s="41">
        <v>-0.27440013675884706</v>
      </c>
      <c r="O79" s="29">
        <v>-1.1582300258227021</v>
      </c>
      <c r="P79" s="41">
        <v>1.4889300873375542</v>
      </c>
      <c r="Q79" s="43" t="e">
        <v>#N/A</v>
      </c>
      <c r="R79" s="29">
        <v>3.112468897455595</v>
      </c>
      <c r="S79" s="44">
        <v>1158428000</v>
      </c>
      <c r="T79" s="44">
        <v>1165428000</v>
      </c>
      <c r="U79" s="44">
        <v>11822748672</v>
      </c>
      <c r="V79" s="29">
        <v>4.0472151234846283</v>
      </c>
      <c r="W79" s="29">
        <v>7.6225367354450251</v>
      </c>
      <c r="X79" s="29">
        <v>-0.88136767385362891</v>
      </c>
      <c r="Y79" s="29">
        <v>13.252602046504721</v>
      </c>
      <c r="Z79" s="29">
        <v>1.5521424619858848</v>
      </c>
      <c r="AA79" t="s">
        <v>91</v>
      </c>
      <c r="AB79" t="s">
        <v>216</v>
      </c>
      <c r="AC79" t="s">
        <v>222</v>
      </c>
    </row>
    <row r="80" spans="5:29" hidden="1" x14ac:dyDescent="0.25">
      <c r="E80" s="1" t="s">
        <v>346</v>
      </c>
      <c r="F80" s="1" t="s">
        <v>347</v>
      </c>
      <c r="G80" s="41">
        <v>7.1588735849955371E-2</v>
      </c>
      <c r="H80" s="41">
        <v>0.25012979175633759</v>
      </c>
      <c r="I80" s="41">
        <v>7.0477610037040034E-2</v>
      </c>
      <c r="J80" s="41">
        <v>0.24641219438628087</v>
      </c>
      <c r="K80" s="42">
        <v>13.273374804563023</v>
      </c>
      <c r="L80" s="28" t="e">
        <v>#N/A</v>
      </c>
      <c r="M80" s="28" t="e">
        <v>#N/A</v>
      </c>
      <c r="N80" s="41">
        <v>1.4646454389742214E-2</v>
      </c>
      <c r="O80" s="29" t="e">
        <v>#N/A</v>
      </c>
      <c r="P80" s="41">
        <v>4.2411522512382178E-2</v>
      </c>
      <c r="Q80" s="43" t="e">
        <v>#N/A</v>
      </c>
      <c r="R80" s="29">
        <v>4.535136195383636</v>
      </c>
      <c r="S80" s="44">
        <v>901444000</v>
      </c>
      <c r="T80" s="44">
        <v>915044000</v>
      </c>
      <c r="U80" s="44">
        <v>289527008</v>
      </c>
      <c r="V80" s="29" t="e">
        <v>#N/A</v>
      </c>
      <c r="W80" s="29">
        <v>4.7861304121213237</v>
      </c>
      <c r="X80" s="29">
        <v>-56.462780840121141</v>
      </c>
      <c r="Y80" s="29">
        <v>4.030768197238924</v>
      </c>
      <c r="Z80" s="29">
        <v>0.43910535840625586</v>
      </c>
      <c r="AA80" t="s">
        <v>66</v>
      </c>
      <c r="AB80" t="s">
        <v>72</v>
      </c>
      <c r="AC80" t="s">
        <v>103</v>
      </c>
    </row>
    <row r="81" spans="1:29" hidden="1" x14ac:dyDescent="0.25">
      <c r="E81" s="1" t="s">
        <v>749</v>
      </c>
      <c r="F81" s="1" t="s">
        <v>750</v>
      </c>
      <c r="G81" s="41">
        <v>0.35767890718572554</v>
      </c>
      <c r="H81" s="41">
        <v>0.24712570994964245</v>
      </c>
      <c r="I81" s="41">
        <v>0.28730516500740494</v>
      </c>
      <c r="J81" s="41">
        <v>0.20446222188400695</v>
      </c>
      <c r="K81" s="42">
        <v>24.983173104980374</v>
      </c>
      <c r="L81" s="28">
        <v>9.532923376470567</v>
      </c>
      <c r="M81" s="28">
        <v>8.9739606066065125</v>
      </c>
      <c r="N81" s="41">
        <v>0.24346174899122747</v>
      </c>
      <c r="O81" s="29" t="e">
        <v>#N/A</v>
      </c>
      <c r="P81" s="41">
        <v>0.29111973925588186</v>
      </c>
      <c r="Q81" s="43" t="e">
        <v>#N/A</v>
      </c>
      <c r="R81" s="29">
        <v>1.7125205666311323</v>
      </c>
      <c r="S81" s="44">
        <v>173956000</v>
      </c>
      <c r="T81" s="44">
        <v>210254000</v>
      </c>
      <c r="U81" s="44">
        <v>315984160</v>
      </c>
      <c r="V81" s="29" t="e">
        <v>#N/A</v>
      </c>
      <c r="W81" s="29" t="e">
        <v>#N/A</v>
      </c>
      <c r="X81" s="29" t="e">
        <v>#N/A</v>
      </c>
      <c r="Y81" s="29">
        <v>9.379792565111071</v>
      </c>
      <c r="Z81" s="29">
        <v>2.4164459945313519</v>
      </c>
      <c r="AA81" t="s">
        <v>73</v>
      </c>
      <c r="AB81" t="s">
        <v>100</v>
      </c>
      <c r="AC81" t="s">
        <v>174</v>
      </c>
    </row>
    <row r="82" spans="1:29" hidden="1" x14ac:dyDescent="0.25">
      <c r="E82" s="1" t="s">
        <v>605</v>
      </c>
      <c r="F82" s="1" t="s">
        <v>606</v>
      </c>
      <c r="G82" s="41">
        <v>0.11280573449529838</v>
      </c>
      <c r="H82" s="41">
        <v>0.24580186795197878</v>
      </c>
      <c r="I82" s="41">
        <v>0.11280573449529838</v>
      </c>
      <c r="J82" s="41">
        <v>0.24580186795197878</v>
      </c>
      <c r="K82" s="42">
        <v>41.479997921439164</v>
      </c>
      <c r="L82" s="28">
        <v>6.1062657941766263</v>
      </c>
      <c r="M82" s="28">
        <v>6.9241742200733913</v>
      </c>
      <c r="N82" s="41">
        <v>0.16461186855839699</v>
      </c>
      <c r="O82" s="29">
        <v>0.64473262842058188</v>
      </c>
      <c r="P82" s="41">
        <v>0.43940890957054995</v>
      </c>
      <c r="Q82" s="43" t="e">
        <v>#N/A</v>
      </c>
      <c r="R82" s="29">
        <v>13.655640106943299</v>
      </c>
      <c r="S82" s="44">
        <v>2416015000</v>
      </c>
      <c r="T82" s="44">
        <v>2416015000</v>
      </c>
      <c r="U82" s="44">
        <v>3821178880</v>
      </c>
      <c r="V82" s="29">
        <v>1.6142234583038819</v>
      </c>
      <c r="W82" s="29">
        <v>1.9209574126950522</v>
      </c>
      <c r="X82" s="29">
        <v>72.241782852812861</v>
      </c>
      <c r="Y82" s="29">
        <v>1.5644290612232352</v>
      </c>
      <c r="Z82" s="29">
        <v>0.57410819017671044</v>
      </c>
      <c r="AA82" t="s">
        <v>69</v>
      </c>
      <c r="AB82" t="s">
        <v>159</v>
      </c>
      <c r="AC82" t="s">
        <v>160</v>
      </c>
    </row>
    <row r="83" spans="1:29" hidden="1" x14ac:dyDescent="0.25">
      <c r="E83" s="1" t="s">
        <v>324</v>
      </c>
      <c r="F83" s="1" t="s">
        <v>325</v>
      </c>
      <c r="G83" s="41">
        <v>0.28342856582372677</v>
      </c>
      <c r="H83" s="41">
        <v>0.24032265712050449</v>
      </c>
      <c r="I83" s="41">
        <v>0.28342856582372677</v>
      </c>
      <c r="J83" s="41">
        <v>0.24032265712050449</v>
      </c>
      <c r="K83" s="42">
        <v>28.182170242428938</v>
      </c>
      <c r="L83" s="28">
        <v>79.297768938746103</v>
      </c>
      <c r="M83" s="28">
        <v>62.296415758494653</v>
      </c>
      <c r="N83" s="41">
        <v>0.29542036712179021</v>
      </c>
      <c r="O83" s="29">
        <v>1.5279919769099257</v>
      </c>
      <c r="P83" s="41">
        <v>0.42912225738831455</v>
      </c>
      <c r="Q83" s="43" t="e">
        <v>#N/A</v>
      </c>
      <c r="R83" s="29">
        <v>-0.39614731522265212</v>
      </c>
      <c r="S83" s="44">
        <v>843620000</v>
      </c>
      <c r="T83" s="44">
        <v>843620000</v>
      </c>
      <c r="U83" s="44">
        <v>3934904320</v>
      </c>
      <c r="V83" s="29">
        <v>5.6268898917751482</v>
      </c>
      <c r="W83" s="29">
        <v>7.1283282863902606</v>
      </c>
      <c r="X83" s="29">
        <v>11.945589039278492</v>
      </c>
      <c r="Y83" s="29">
        <v>7.1856177839950206</v>
      </c>
      <c r="Z83" s="29">
        <v>1.8543536594238319</v>
      </c>
      <c r="AA83" t="s">
        <v>69</v>
      </c>
      <c r="AB83" t="s">
        <v>159</v>
      </c>
      <c r="AC83" t="s">
        <v>186</v>
      </c>
    </row>
    <row r="84" spans="1:29" hidden="1" x14ac:dyDescent="0.25">
      <c r="E84" s="1" t="s">
        <v>385</v>
      </c>
      <c r="F84" s="1" t="s">
        <v>386</v>
      </c>
      <c r="G84" s="41">
        <v>0.26507465894529125</v>
      </c>
      <c r="H84" s="41">
        <v>0.23950152327586108</v>
      </c>
      <c r="I84" s="41">
        <v>0.26507465894529125</v>
      </c>
      <c r="J84" s="41">
        <v>0.23950152327586108</v>
      </c>
      <c r="K84" s="42">
        <v>17.296695213893184</v>
      </c>
      <c r="L84" s="28">
        <v>72.992978482247764</v>
      </c>
      <c r="M84" s="28">
        <v>56.686656533853274</v>
      </c>
      <c r="N84" s="41">
        <v>0.19305157320074032</v>
      </c>
      <c r="O84" s="29">
        <v>1.0586093176645455</v>
      </c>
      <c r="P84" s="41">
        <v>0.46398837834747214</v>
      </c>
      <c r="Q84" s="43" t="e">
        <v>#N/A</v>
      </c>
      <c r="R84" s="29">
        <v>3.0975796368067923</v>
      </c>
      <c r="S84" s="44">
        <v>3496412000</v>
      </c>
      <c r="T84" s="44">
        <v>3496412000</v>
      </c>
      <c r="U84" s="44">
        <v>1908763904</v>
      </c>
      <c r="V84" s="29">
        <v>4.4145839602396766</v>
      </c>
      <c r="W84" s="29">
        <v>5.5178647239894243</v>
      </c>
      <c r="X84" s="29" t="e">
        <v>#N/A</v>
      </c>
      <c r="Y84" s="29">
        <v>6.0440360716309121</v>
      </c>
      <c r="Z84" s="29">
        <v>1.8159347061574196</v>
      </c>
      <c r="AA84" t="s">
        <v>69</v>
      </c>
      <c r="AB84" t="s">
        <v>159</v>
      </c>
      <c r="AC84" t="s">
        <v>186</v>
      </c>
    </row>
    <row r="85" spans="1:29" s="33" customFormat="1" x14ac:dyDescent="0.25">
      <c r="A85" s="33">
        <v>14</v>
      </c>
      <c r="B85" s="54"/>
      <c r="E85" s="51" t="s">
        <v>549</v>
      </c>
      <c r="F85" s="51" t="s">
        <v>550</v>
      </c>
      <c r="G85" s="52">
        <v>0.32466779320937289</v>
      </c>
      <c r="H85" s="52">
        <v>0.23788423314830384</v>
      </c>
      <c r="I85" s="52">
        <v>0.31604166912769499</v>
      </c>
      <c r="J85" s="52">
        <v>0.22737994821947916</v>
      </c>
      <c r="K85" s="53">
        <v>22.240336968568631</v>
      </c>
      <c r="L85" s="54">
        <v>22.296369582188053</v>
      </c>
      <c r="M85" s="54">
        <v>23.028256820766291</v>
      </c>
      <c r="N85" s="52">
        <v>0.35282510610334261</v>
      </c>
      <c r="O85" s="55">
        <v>2.3180679102015778</v>
      </c>
      <c r="P85" s="52">
        <v>0.38582887425924595</v>
      </c>
      <c r="Q85" s="56" t="e">
        <v>#N/A</v>
      </c>
      <c r="R85" s="55">
        <v>21.751898091777829</v>
      </c>
      <c r="S85" s="57">
        <v>1436888000</v>
      </c>
      <c r="T85" s="57">
        <v>1503268000</v>
      </c>
      <c r="U85" s="57">
        <v>4527183360</v>
      </c>
      <c r="V85" s="55">
        <v>15.635708589187844</v>
      </c>
      <c r="W85" s="55">
        <v>20.344571348963999</v>
      </c>
      <c r="X85" s="55">
        <v>-2.5864867995980618</v>
      </c>
      <c r="Y85" s="55">
        <v>21.897970401426214</v>
      </c>
      <c r="Z85" s="55">
        <v>5.560231244517948</v>
      </c>
      <c r="AA85" s="33" t="s">
        <v>76</v>
      </c>
      <c r="AB85" s="33" t="s">
        <v>209</v>
      </c>
      <c r="AC85" s="33" t="s">
        <v>211</v>
      </c>
    </row>
    <row r="86" spans="1:29" hidden="1" x14ac:dyDescent="0.25">
      <c r="E86" s="1" t="s">
        <v>567</v>
      </c>
      <c r="F86" s="1" t="s">
        <v>568</v>
      </c>
      <c r="G86" s="41">
        <v>0.17029142385233526</v>
      </c>
      <c r="H86" s="41">
        <v>0.23755870434179213</v>
      </c>
      <c r="I86" s="41">
        <v>0.16953410531331761</v>
      </c>
      <c r="J86" s="41">
        <v>0.23657901319515423</v>
      </c>
      <c r="K86" s="42">
        <v>20.192740941357933</v>
      </c>
      <c r="L86" s="28">
        <v>16.928711190938269</v>
      </c>
      <c r="M86" s="28">
        <v>21.484111768255591</v>
      </c>
      <c r="N86" s="41">
        <v>0.25981106479402361</v>
      </c>
      <c r="O86" s="29">
        <v>1.9991504401938578</v>
      </c>
      <c r="P86" s="41">
        <v>0.43459461167322117</v>
      </c>
      <c r="Q86" s="43" t="e">
        <v>#N/A</v>
      </c>
      <c r="R86" s="29">
        <v>6.9712226548608296</v>
      </c>
      <c r="S86" s="44">
        <v>1341681000</v>
      </c>
      <c r="T86" s="44">
        <v>1347237000</v>
      </c>
      <c r="U86" s="44">
        <v>1454638464</v>
      </c>
      <c r="V86" s="29">
        <v>7.2135064380143961</v>
      </c>
      <c r="W86" s="29">
        <v>8.3149286779745051</v>
      </c>
      <c r="X86" s="29">
        <v>6.3678365650586839</v>
      </c>
      <c r="Y86" s="29">
        <v>8.8873049736469198</v>
      </c>
      <c r="Z86" s="29">
        <v>1.5699531933910522</v>
      </c>
      <c r="AA86" t="s">
        <v>65</v>
      </c>
      <c r="AB86" t="s">
        <v>149</v>
      </c>
      <c r="AC86" t="s">
        <v>164</v>
      </c>
    </row>
    <row r="87" spans="1:29" hidden="1" x14ac:dyDescent="0.25">
      <c r="E87" s="1" t="s">
        <v>690</v>
      </c>
      <c r="F87" s="1" t="s">
        <v>691</v>
      </c>
      <c r="G87" s="41">
        <v>0.44085807690417472</v>
      </c>
      <c r="H87" s="41">
        <v>0.23675534202361079</v>
      </c>
      <c r="I87" s="41">
        <v>0.17052696292629027</v>
      </c>
      <c r="J87" s="41">
        <v>0.1108232304538774</v>
      </c>
      <c r="K87" s="42">
        <v>-3.5153215950753629</v>
      </c>
      <c r="L87" s="28">
        <v>21.645286345292668</v>
      </c>
      <c r="M87" s="28">
        <v>28.008948545861298</v>
      </c>
      <c r="N87" s="41">
        <v>-8.8994880600337056E-2</v>
      </c>
      <c r="O87" s="29">
        <v>-0.99891143351714051</v>
      </c>
      <c r="P87" s="41">
        <v>0.61256973660142677</v>
      </c>
      <c r="Q87" s="43" t="e">
        <v>#N/A</v>
      </c>
      <c r="R87" s="29">
        <v>5.1522379925638235</v>
      </c>
      <c r="S87" s="44">
        <v>216257000</v>
      </c>
      <c r="T87" s="44">
        <v>461997000</v>
      </c>
      <c r="U87" s="44">
        <v>209283360</v>
      </c>
      <c r="V87" s="29">
        <v>3.6579300105287578</v>
      </c>
      <c r="W87" s="29" t="e">
        <v>#N/A</v>
      </c>
      <c r="X87" s="29">
        <v>12.568430077927793</v>
      </c>
      <c r="Y87" s="29" t="e">
        <v>#N/A</v>
      </c>
      <c r="Z87" s="29">
        <v>0.46886893612011232</v>
      </c>
      <c r="AA87" t="s">
        <v>71</v>
      </c>
      <c r="AB87" t="s">
        <v>220</v>
      </c>
      <c r="AC87" t="s">
        <v>221</v>
      </c>
    </row>
    <row r="88" spans="1:29" hidden="1" x14ac:dyDescent="0.25">
      <c r="E88" s="1" t="s">
        <v>459</v>
      </c>
      <c r="F88" s="1" t="s">
        <v>460</v>
      </c>
      <c r="G88" s="41">
        <v>0.1484691299324338</v>
      </c>
      <c r="H88" s="41">
        <v>0.23401132991637444</v>
      </c>
      <c r="I88" s="41">
        <v>0.13979269293409366</v>
      </c>
      <c r="J88" s="41">
        <v>0.21702191534073853</v>
      </c>
      <c r="K88" s="42">
        <v>23.497137840852979</v>
      </c>
      <c r="L88" s="28">
        <v>3.1968955937836405</v>
      </c>
      <c r="M88" s="28">
        <v>4.943259625304262</v>
      </c>
      <c r="N88" s="41">
        <v>0.19651991450974823</v>
      </c>
      <c r="O88" s="29">
        <v>1.4070459726755342</v>
      </c>
      <c r="P88" s="41">
        <v>0.34245129708170474</v>
      </c>
      <c r="Q88" s="43" t="e">
        <v>#N/A</v>
      </c>
      <c r="R88" s="29">
        <v>10.141849731985676</v>
      </c>
      <c r="S88" s="44">
        <v>185350000</v>
      </c>
      <c r="T88" s="44">
        <v>199860000</v>
      </c>
      <c r="U88" s="44">
        <v>404629696</v>
      </c>
      <c r="V88" s="29">
        <v>8.1517064834101465</v>
      </c>
      <c r="W88" s="29">
        <v>10.05823645120816</v>
      </c>
      <c r="X88" s="29">
        <v>3.9747453434559583</v>
      </c>
      <c r="Y88" s="29">
        <v>15.099458571598161</v>
      </c>
      <c r="Z88" s="29">
        <v>2.7819047841259539</v>
      </c>
      <c r="AA88" t="s">
        <v>73</v>
      </c>
      <c r="AB88" t="s">
        <v>100</v>
      </c>
      <c r="AC88" t="s">
        <v>124</v>
      </c>
    </row>
    <row r="89" spans="1:29" hidden="1" x14ac:dyDescent="0.25">
      <c r="E89" s="1" t="s">
        <v>995</v>
      </c>
      <c r="F89" s="1" t="s">
        <v>996</v>
      </c>
      <c r="G89" s="41" t="e">
        <v>#N/A</v>
      </c>
      <c r="H89" s="41">
        <v>0.2244778191455796</v>
      </c>
      <c r="I89" s="41" t="e">
        <v>#N/A</v>
      </c>
      <c r="J89" s="41">
        <v>0.20346612520376356</v>
      </c>
      <c r="K89" s="42" t="e">
        <v>#N/A</v>
      </c>
      <c r="L89" s="28" t="e">
        <v>#N/A</v>
      </c>
      <c r="M89" s="28">
        <v>8.0308451549149744</v>
      </c>
      <c r="N89" s="41">
        <v>0.26118447809756212</v>
      </c>
      <c r="O89" s="29" t="e">
        <v>#N/A</v>
      </c>
      <c r="P89" s="41">
        <v>0.4600451597405717</v>
      </c>
      <c r="Q89" s="43" t="e">
        <v>#N/A</v>
      </c>
      <c r="R89" s="29" t="e">
        <v>#N/A</v>
      </c>
      <c r="S89" s="44">
        <v>158470000</v>
      </c>
      <c r="T89" s="44">
        <v>174835000</v>
      </c>
      <c r="U89" s="44">
        <v>278051968</v>
      </c>
      <c r="V89" s="29" t="e">
        <v>#N/A</v>
      </c>
      <c r="W89" s="29" t="e">
        <v>#N/A</v>
      </c>
      <c r="X89" s="29" t="e">
        <v>#N/A</v>
      </c>
      <c r="Y89" s="29" t="e">
        <v>#N/A</v>
      </c>
      <c r="Z89" s="29">
        <v>1.1872393377500041</v>
      </c>
      <c r="AA89" t="s">
        <v>77</v>
      </c>
      <c r="AB89" t="s">
        <v>102</v>
      </c>
      <c r="AC89" t="s">
        <v>112</v>
      </c>
    </row>
    <row r="90" spans="1:29" hidden="1" x14ac:dyDescent="0.25">
      <c r="E90" s="1" t="s">
        <v>505</v>
      </c>
      <c r="F90" s="1" t="s">
        <v>506</v>
      </c>
      <c r="G90" s="41">
        <v>0.11137067621791803</v>
      </c>
      <c r="H90" s="41">
        <v>0.22358279097344838</v>
      </c>
      <c r="I90" s="41">
        <v>0.11137067621791803</v>
      </c>
      <c r="J90" s="41">
        <v>0.22358279097344838</v>
      </c>
      <c r="K90" s="42">
        <v>38.397011944432506</v>
      </c>
      <c r="L90" s="28">
        <v>80.282615413853662</v>
      </c>
      <c r="M90" s="28">
        <v>83.744786954993714</v>
      </c>
      <c r="N90" s="41">
        <v>0.45368099004988838</v>
      </c>
      <c r="O90" s="29">
        <v>2.0382714566458668</v>
      </c>
      <c r="P90" s="41">
        <v>0.38378214492434054</v>
      </c>
      <c r="Q90" s="43" t="e">
        <v>#N/A</v>
      </c>
      <c r="R90" s="29">
        <v>23.634658055387462</v>
      </c>
      <c r="S90" s="44">
        <v>3024900000</v>
      </c>
      <c r="T90" s="44">
        <v>3024900000</v>
      </c>
      <c r="U90" s="44">
        <v>13592773632</v>
      </c>
      <c r="V90" s="29">
        <v>6.4790103164274031</v>
      </c>
      <c r="W90" s="29">
        <v>7.5905829688272988</v>
      </c>
      <c r="X90" s="29">
        <v>13.522274263675396</v>
      </c>
      <c r="Y90" s="29">
        <v>7.3992269458729565</v>
      </c>
      <c r="Z90" s="29">
        <v>2.5508921066016539</v>
      </c>
      <c r="AA90" t="s">
        <v>69</v>
      </c>
      <c r="AB90" t="s">
        <v>159</v>
      </c>
      <c r="AC90" t="s">
        <v>235</v>
      </c>
    </row>
    <row r="91" spans="1:29" hidden="1" x14ac:dyDescent="0.25">
      <c r="E91" s="1" t="s">
        <v>1044</v>
      </c>
      <c r="F91" s="1" t="s">
        <v>1045</v>
      </c>
      <c r="G91" s="41" t="e">
        <v>#N/A</v>
      </c>
      <c r="H91" s="41">
        <v>0.21847348846301301</v>
      </c>
      <c r="I91" s="41" t="e">
        <v>#N/A</v>
      </c>
      <c r="J91" s="41">
        <v>0.19651865981310929</v>
      </c>
      <c r="K91" s="42">
        <v>19.368820473171365</v>
      </c>
      <c r="L91" s="28" t="e">
        <v>#N/A</v>
      </c>
      <c r="M91" s="28">
        <v>7.8261067589724895</v>
      </c>
      <c r="N91" s="41">
        <v>0.17663474692202463</v>
      </c>
      <c r="O91" s="29">
        <v>1.2665009069572519</v>
      </c>
      <c r="P91" s="41">
        <v>0.35796792394153448</v>
      </c>
      <c r="Q91" s="43">
        <v>1.7206775064970144E-2</v>
      </c>
      <c r="R91" s="29" t="e">
        <v>#N/A</v>
      </c>
      <c r="S91" s="44">
        <v>198404270.39999998</v>
      </c>
      <c r="T91" s="44">
        <v>220569757.19999999</v>
      </c>
      <c r="U91" s="44">
        <v>682650688</v>
      </c>
      <c r="V91" s="29">
        <v>13.572696467889527</v>
      </c>
      <c r="W91" s="29">
        <v>17.394292703267066</v>
      </c>
      <c r="X91" s="29">
        <v>4.9653556463538608</v>
      </c>
      <c r="Y91" s="29" t="e">
        <v>#N/A</v>
      </c>
      <c r="Z91" s="29" t="e">
        <v>#N/A</v>
      </c>
      <c r="AA91" t="s">
        <v>77</v>
      </c>
      <c r="AB91" t="s">
        <v>111</v>
      </c>
      <c r="AC91" t="s">
        <v>214</v>
      </c>
    </row>
    <row r="92" spans="1:29" hidden="1" x14ac:dyDescent="0.25">
      <c r="E92" s="1" t="s">
        <v>437</v>
      </c>
      <c r="F92" s="1" t="s">
        <v>438</v>
      </c>
      <c r="G92" s="41">
        <v>0.15051695654751662</v>
      </c>
      <c r="H92" s="41">
        <v>0.21491579791499599</v>
      </c>
      <c r="I92" s="41">
        <v>8.242942413172058E-2</v>
      </c>
      <c r="J92" s="41">
        <v>0.12333179935572941</v>
      </c>
      <c r="K92" s="42">
        <v>20.250521920668056</v>
      </c>
      <c r="L92" s="28">
        <v>30.84592219298117</v>
      </c>
      <c r="M92" s="28">
        <v>31.744604316546763</v>
      </c>
      <c r="N92" s="41">
        <v>0.44852374839537867</v>
      </c>
      <c r="O92" s="29">
        <v>5.0784883720930232</v>
      </c>
      <c r="P92" s="41">
        <v>0.15287284795685543</v>
      </c>
      <c r="Q92" s="43" t="e">
        <v>#N/A</v>
      </c>
      <c r="R92" s="29">
        <v>6.6072113814602478</v>
      </c>
      <c r="S92" s="44">
        <v>1247000000</v>
      </c>
      <c r="T92" s="44">
        <v>2173000000</v>
      </c>
      <c r="U92" s="44">
        <v>1156323456</v>
      </c>
      <c r="V92" s="29">
        <v>9.1753588837209303</v>
      </c>
      <c r="W92" s="29">
        <v>12.23381184496124</v>
      </c>
      <c r="X92" s="29">
        <v>2.0755438173866811</v>
      </c>
      <c r="Y92" s="29">
        <v>7.9177689907926307</v>
      </c>
      <c r="Z92" s="29">
        <v>2.082428858677686</v>
      </c>
      <c r="AA92" t="s">
        <v>66</v>
      </c>
      <c r="AB92" t="s">
        <v>84</v>
      </c>
      <c r="AC92" t="s">
        <v>151</v>
      </c>
    </row>
    <row r="93" spans="1:29" hidden="1" x14ac:dyDescent="0.25">
      <c r="E93" s="1" t="s">
        <v>937</v>
      </c>
      <c r="F93" s="1" t="s">
        <v>938</v>
      </c>
      <c r="G93" s="41" t="e">
        <v>#N/A</v>
      </c>
      <c r="H93" s="41">
        <v>0.21471673681583461</v>
      </c>
      <c r="I93" s="41" t="e">
        <v>#N/A</v>
      </c>
      <c r="J93" s="41">
        <v>0.20623149352266054</v>
      </c>
      <c r="K93" s="42">
        <v>14.270569756764006</v>
      </c>
      <c r="L93" s="28" t="e">
        <v>#N/A</v>
      </c>
      <c r="M93" s="28">
        <v>16.932276313507892</v>
      </c>
      <c r="N93" s="41">
        <v>6.1478659539954288E-2</v>
      </c>
      <c r="O93" s="29">
        <v>0.39786697028567802</v>
      </c>
      <c r="P93" s="41">
        <v>0.54484876987211872</v>
      </c>
      <c r="Q93" s="43" t="e">
        <v>#N/A</v>
      </c>
      <c r="R93" s="29" t="e">
        <v>#N/A</v>
      </c>
      <c r="S93" s="44">
        <v>829423000</v>
      </c>
      <c r="T93" s="44">
        <v>863549000</v>
      </c>
      <c r="U93" s="44">
        <v>2278500096</v>
      </c>
      <c r="V93" s="29">
        <v>9.4999486289372275</v>
      </c>
      <c r="W93" s="29">
        <v>14.395921261077563</v>
      </c>
      <c r="X93" s="29">
        <v>-1.9828395039049409</v>
      </c>
      <c r="Y93" s="29">
        <v>21.394131207203845</v>
      </c>
      <c r="Z93" s="29">
        <v>2.5497519371202411</v>
      </c>
      <c r="AA93" t="s">
        <v>77</v>
      </c>
      <c r="AB93" t="s">
        <v>245</v>
      </c>
      <c r="AC93" t="s">
        <v>245</v>
      </c>
    </row>
    <row r="94" spans="1:29" hidden="1" x14ac:dyDescent="0.25">
      <c r="E94" s="1" t="s">
        <v>643</v>
      </c>
      <c r="F94" s="1" t="s">
        <v>644</v>
      </c>
      <c r="G94" s="41">
        <v>-1.8792156757366807</v>
      </c>
      <c r="H94" s="41">
        <v>0.204651108348437</v>
      </c>
      <c r="I94" s="41">
        <v>0.94574560302820299</v>
      </c>
      <c r="J94" s="41">
        <v>0.19547436493412498</v>
      </c>
      <c r="K94" s="42">
        <v>41.249994342893089</v>
      </c>
      <c r="L94" s="28">
        <v>7.3611702582309846</v>
      </c>
      <c r="M94" s="28">
        <v>8.680042475567884</v>
      </c>
      <c r="N94" s="41">
        <v>0.25623631733361135</v>
      </c>
      <c r="O94" s="29">
        <v>1.6325327848405407</v>
      </c>
      <c r="P94" s="41">
        <v>0.15093795747334832</v>
      </c>
      <c r="Q94" s="43" t="e">
        <v>#N/A</v>
      </c>
      <c r="R94" s="29">
        <v>6.3076424730672063</v>
      </c>
      <c r="S94" s="44">
        <v>1623226000</v>
      </c>
      <c r="T94" s="44">
        <v>1699430000</v>
      </c>
      <c r="U94" s="44">
        <v>2989301504</v>
      </c>
      <c r="V94" s="29">
        <v>6.3224438292265246</v>
      </c>
      <c r="W94" s="29">
        <v>11.273752975175263</v>
      </c>
      <c r="X94" s="29">
        <v>13.332077726743753</v>
      </c>
      <c r="Y94" s="29">
        <v>12.051380255198101</v>
      </c>
      <c r="Z94" s="29">
        <v>5.3720433615921772</v>
      </c>
      <c r="AA94" t="s">
        <v>73</v>
      </c>
      <c r="AB94" t="s">
        <v>169</v>
      </c>
      <c r="AC94" t="s">
        <v>187</v>
      </c>
    </row>
    <row r="95" spans="1:29" hidden="1" x14ac:dyDescent="0.25">
      <c r="E95" s="1" t="s">
        <v>375</v>
      </c>
      <c r="F95" s="1" t="s">
        <v>376</v>
      </c>
      <c r="G95" s="41">
        <v>0.1985793119245888</v>
      </c>
      <c r="H95" s="41">
        <v>0.2026685522539183</v>
      </c>
      <c r="I95" s="41">
        <v>0.19740105312563902</v>
      </c>
      <c r="J95" s="41">
        <v>0.20163677158045032</v>
      </c>
      <c r="K95" s="42" t="e">
        <v>#N/A</v>
      </c>
      <c r="L95" s="28">
        <v>11.636200841679461</v>
      </c>
      <c r="M95" s="28">
        <v>12.029378287279316</v>
      </c>
      <c r="N95" s="41">
        <v>-0.35848135364929712</v>
      </c>
      <c r="O95" s="29" t="e">
        <v>#N/A</v>
      </c>
      <c r="P95" s="41">
        <v>0.91762059098783044</v>
      </c>
      <c r="Q95" s="43" t="e">
        <v>#N/A</v>
      </c>
      <c r="R95" s="29" t="e">
        <v>#N/A</v>
      </c>
      <c r="S95" s="44">
        <v>239006000</v>
      </c>
      <c r="T95" s="44">
        <v>240229000</v>
      </c>
      <c r="U95" s="44">
        <v>257527280</v>
      </c>
      <c r="V95" s="29" t="e">
        <v>#N/A</v>
      </c>
      <c r="W95" s="29" t="e">
        <v>#N/A</v>
      </c>
      <c r="X95" s="29" t="e">
        <v>#N/A</v>
      </c>
      <c r="Y95" s="29" t="e">
        <v>#N/A</v>
      </c>
      <c r="Z95" s="29">
        <v>0.79811594249834983</v>
      </c>
      <c r="AA95" t="s">
        <v>73</v>
      </c>
      <c r="AB95" t="s">
        <v>169</v>
      </c>
      <c r="AC95" t="s">
        <v>192</v>
      </c>
    </row>
    <row r="96" spans="1:29" hidden="1" x14ac:dyDescent="0.25">
      <c r="E96" s="1" t="s">
        <v>563</v>
      </c>
      <c r="F96" s="1" t="s">
        <v>564</v>
      </c>
      <c r="G96" s="41">
        <v>0.20737664148463444</v>
      </c>
      <c r="H96" s="41">
        <v>0.20171502199315769</v>
      </c>
      <c r="I96" s="41">
        <v>0.20668515786156569</v>
      </c>
      <c r="J96" s="41">
        <v>0.19825760387781394</v>
      </c>
      <c r="K96" s="42">
        <v>16.43844623806158</v>
      </c>
      <c r="L96" s="28">
        <v>14.901862010822423</v>
      </c>
      <c r="M96" s="28">
        <v>20.857200962613973</v>
      </c>
      <c r="N96" s="41">
        <v>-0.20560937543289343</v>
      </c>
      <c r="O96" s="29">
        <v>-1.6411617278490342</v>
      </c>
      <c r="P96" s="41">
        <v>0.67863167931932378</v>
      </c>
      <c r="Q96" s="43" t="e">
        <v>#N/A</v>
      </c>
      <c r="R96" s="29">
        <v>7.5023286255868609</v>
      </c>
      <c r="S96" s="44">
        <v>45014000</v>
      </c>
      <c r="T96" s="44">
        <v>45799000</v>
      </c>
      <c r="U96" s="44">
        <v>485332384</v>
      </c>
      <c r="V96" s="29">
        <v>7.7973262568185167</v>
      </c>
      <c r="W96" s="29">
        <v>10.304776229907452</v>
      </c>
      <c r="X96" s="29">
        <v>-2.2508146668269466</v>
      </c>
      <c r="Y96" s="29">
        <v>12.507060342950178</v>
      </c>
      <c r="Z96" s="29">
        <v>1.7605121781645654</v>
      </c>
      <c r="AA96" t="s">
        <v>77</v>
      </c>
      <c r="AB96" t="s">
        <v>199</v>
      </c>
      <c r="AC96" t="s">
        <v>205</v>
      </c>
    </row>
    <row r="97" spans="5:29" hidden="1" x14ac:dyDescent="0.25">
      <c r="E97" s="1" t="s">
        <v>387</v>
      </c>
      <c r="F97" s="1" t="s">
        <v>388</v>
      </c>
      <c r="G97" s="41">
        <v>0.14225789636860323</v>
      </c>
      <c r="H97" s="41">
        <v>0.2003102558149904</v>
      </c>
      <c r="I97" s="41">
        <v>0.14188081532506266</v>
      </c>
      <c r="J97" s="41">
        <v>0.19990517822044993</v>
      </c>
      <c r="K97" s="42" t="e">
        <v>#N/A</v>
      </c>
      <c r="L97" s="28">
        <v>6.9097466253169371</v>
      </c>
      <c r="M97" s="28">
        <v>8.3377110968845525</v>
      </c>
      <c r="N97" s="41" t="e">
        <v>#N/A</v>
      </c>
      <c r="O97" s="29" t="e">
        <v>#N/A</v>
      </c>
      <c r="P97" s="41">
        <v>0.44863057960672253</v>
      </c>
      <c r="Q97" s="43" t="e">
        <v>#N/A</v>
      </c>
      <c r="R97" s="29" t="e">
        <v>#N/A</v>
      </c>
      <c r="S97" s="44">
        <v>1300862000</v>
      </c>
      <c r="T97" s="44">
        <v>1303498000</v>
      </c>
      <c r="U97" s="44">
        <v>250117824</v>
      </c>
      <c r="V97" s="29" t="e">
        <v>#N/A</v>
      </c>
      <c r="W97" s="29" t="e">
        <v>#N/A</v>
      </c>
      <c r="X97" s="29" t="e">
        <v>#N/A</v>
      </c>
      <c r="Y97" s="29" t="e">
        <v>#N/A</v>
      </c>
      <c r="Z97" s="29">
        <v>1.0359868215376009</v>
      </c>
      <c r="AA97" t="s">
        <v>73</v>
      </c>
      <c r="AB97" t="s">
        <v>169</v>
      </c>
      <c r="AC97" t="s">
        <v>218</v>
      </c>
    </row>
    <row r="98" spans="5:29" hidden="1" x14ac:dyDescent="0.25">
      <c r="E98" s="1" t="s">
        <v>312</v>
      </c>
      <c r="F98" s="1" t="s">
        <v>313</v>
      </c>
      <c r="G98" s="41">
        <v>0.14508218248808608</v>
      </c>
      <c r="H98" s="41">
        <v>0.20022068769132198</v>
      </c>
      <c r="I98" s="41">
        <v>0.10661245616030075</v>
      </c>
      <c r="J98" s="41">
        <v>0.16274134541525082</v>
      </c>
      <c r="K98" s="42" t="e">
        <v>#N/A</v>
      </c>
      <c r="L98" s="28">
        <v>8.7974317489276643</v>
      </c>
      <c r="M98" s="28">
        <v>12.717504324060592</v>
      </c>
      <c r="N98" s="41">
        <v>0.56814217192777128</v>
      </c>
      <c r="O98" s="29" t="e">
        <v>#N/A</v>
      </c>
      <c r="P98" s="41">
        <v>0.23016586288973359</v>
      </c>
      <c r="Q98" s="43" t="e">
        <v>#N/A</v>
      </c>
      <c r="R98" s="29" t="e">
        <v>#N/A</v>
      </c>
      <c r="S98" s="44">
        <v>561880000</v>
      </c>
      <c r="T98" s="44">
        <v>691281000</v>
      </c>
      <c r="U98" s="44">
        <v>658702400</v>
      </c>
      <c r="V98" s="29" t="e">
        <v>#N/A</v>
      </c>
      <c r="W98" s="29" t="e">
        <v>#N/A</v>
      </c>
      <c r="X98" s="29" t="e">
        <v>#N/A</v>
      </c>
      <c r="Y98" s="29" t="e">
        <v>#N/A</v>
      </c>
      <c r="Z98" s="29">
        <v>2.3761627816935218</v>
      </c>
      <c r="AA98" t="s">
        <v>71</v>
      </c>
      <c r="AB98" t="s">
        <v>75</v>
      </c>
      <c r="AC98" t="s">
        <v>157</v>
      </c>
    </row>
    <row r="99" spans="5:29" hidden="1" x14ac:dyDescent="0.25">
      <c r="E99" s="1" t="s">
        <v>1032</v>
      </c>
      <c r="F99" s="1" t="s">
        <v>1033</v>
      </c>
      <c r="G99" s="41">
        <v>0.32743671877382852</v>
      </c>
      <c r="H99" s="41">
        <v>0.19960499242983035</v>
      </c>
      <c r="I99" s="41">
        <v>0.32743671877382852</v>
      </c>
      <c r="J99" s="41">
        <v>0.19960499242983035</v>
      </c>
      <c r="K99" s="42">
        <v>18.690062151410057</v>
      </c>
      <c r="L99" s="28">
        <v>7.3662330806512939</v>
      </c>
      <c r="M99" s="28">
        <v>6.7043234759807984</v>
      </c>
      <c r="N99" s="41">
        <v>0.36864095177105871</v>
      </c>
      <c r="O99" s="29">
        <v>2.3872808459637476</v>
      </c>
      <c r="P99" s="41">
        <v>0.35822768017269196</v>
      </c>
      <c r="Q99" s="43" t="e">
        <v>#N/A</v>
      </c>
      <c r="R99" s="29" t="e">
        <v>#N/A</v>
      </c>
      <c r="S99" s="44">
        <v>412144000</v>
      </c>
      <c r="T99" s="44">
        <v>412144000</v>
      </c>
      <c r="U99" s="44">
        <v>332111072</v>
      </c>
      <c r="V99" s="29">
        <v>5.9226591432177589</v>
      </c>
      <c r="W99" s="29">
        <v>7.5422568715642182</v>
      </c>
      <c r="X99" s="29">
        <v>51.644469113032159</v>
      </c>
      <c r="Y99" s="29">
        <v>10.225060222068958</v>
      </c>
      <c r="Z99" s="29">
        <v>1.5183800362515441</v>
      </c>
      <c r="AA99" t="s">
        <v>76</v>
      </c>
      <c r="AB99" t="s">
        <v>95</v>
      </c>
      <c r="AC99" t="s">
        <v>95</v>
      </c>
    </row>
    <row r="100" spans="5:29" hidden="1" x14ac:dyDescent="0.25">
      <c r="E100" s="1" t="s">
        <v>692</v>
      </c>
      <c r="F100" s="1" t="s">
        <v>693</v>
      </c>
      <c r="G100" s="41">
        <v>0.26595121358811924</v>
      </c>
      <c r="H100" s="41">
        <v>0.19754138533101701</v>
      </c>
      <c r="I100" s="41">
        <v>0.25876911311466083</v>
      </c>
      <c r="J100" s="41">
        <v>0.18591398192658823</v>
      </c>
      <c r="K100" s="42">
        <v>20.986392339670584</v>
      </c>
      <c r="L100" s="28">
        <v>21.237311189747423</v>
      </c>
      <c r="M100" s="28">
        <v>19.766669597953126</v>
      </c>
      <c r="N100" s="41">
        <v>0.26084384096934171</v>
      </c>
      <c r="O100" s="29">
        <v>1.3781415715558216</v>
      </c>
      <c r="P100" s="41">
        <v>0.51411098814610656</v>
      </c>
      <c r="Q100" s="43" t="e">
        <v>#N/A</v>
      </c>
      <c r="R100" s="29">
        <v>4.4275192784121327</v>
      </c>
      <c r="S100" s="44">
        <v>914092000</v>
      </c>
      <c r="T100" s="44">
        <v>971261000</v>
      </c>
      <c r="U100" s="44">
        <v>1409877248</v>
      </c>
      <c r="V100" s="29">
        <v>7.2466149197072998</v>
      </c>
      <c r="W100" s="29">
        <v>9.387662901112412</v>
      </c>
      <c r="X100" s="29">
        <v>5.4331680370516926</v>
      </c>
      <c r="Y100" s="29">
        <v>10.590348139981542</v>
      </c>
      <c r="Z100" s="29">
        <v>2.0563834010792421</v>
      </c>
      <c r="AA100" t="s">
        <v>77</v>
      </c>
      <c r="AB100" t="s">
        <v>85</v>
      </c>
      <c r="AC100" t="s">
        <v>195</v>
      </c>
    </row>
    <row r="101" spans="5:29" hidden="1" x14ac:dyDescent="0.25">
      <c r="E101" s="1" t="s">
        <v>479</v>
      </c>
      <c r="F101" s="1" t="s">
        <v>480</v>
      </c>
      <c r="G101" s="41">
        <v>0.1557496657012499</v>
      </c>
      <c r="H101" s="41">
        <v>0.1964488489728502</v>
      </c>
      <c r="I101" s="41">
        <v>0.13307043667960838</v>
      </c>
      <c r="J101" s="41">
        <v>0.16908040870724123</v>
      </c>
      <c r="K101" s="42">
        <v>175.58139534883722</v>
      </c>
      <c r="L101" s="28">
        <v>39.144654024415907</v>
      </c>
      <c r="M101" s="28">
        <v>41.96527932339194</v>
      </c>
      <c r="N101" s="41">
        <v>0.62375924638047675</v>
      </c>
      <c r="O101" s="29">
        <v>2.7830747531734836</v>
      </c>
      <c r="P101" s="41">
        <v>0.12965199884958298</v>
      </c>
      <c r="Q101" s="43">
        <v>3.1354891526811299E-2</v>
      </c>
      <c r="R101" s="29" t="e">
        <v>#N/A</v>
      </c>
      <c r="S101" s="44">
        <v>9687000000</v>
      </c>
      <c r="T101" s="44">
        <v>11255000000</v>
      </c>
      <c r="U101" s="44">
        <v>1613605888</v>
      </c>
      <c r="V101" s="29">
        <v>3.8413556806770099</v>
      </c>
      <c r="W101" s="29">
        <v>8.2182292625226321</v>
      </c>
      <c r="X101" s="29">
        <v>92.091880120853901</v>
      </c>
      <c r="Y101" s="29">
        <v>7.2915680060084043</v>
      </c>
      <c r="Z101" s="29">
        <v>14.165120289655173</v>
      </c>
      <c r="AA101" t="s">
        <v>71</v>
      </c>
      <c r="AB101" t="s">
        <v>75</v>
      </c>
      <c r="AC101" t="s">
        <v>157</v>
      </c>
    </row>
    <row r="102" spans="5:29" hidden="1" x14ac:dyDescent="0.25">
      <c r="E102" s="1" t="s">
        <v>401</v>
      </c>
      <c r="F102" s="1" t="s">
        <v>402</v>
      </c>
      <c r="G102" s="41" t="e">
        <v>#N/A</v>
      </c>
      <c r="H102" s="41">
        <v>0.19197187889783421</v>
      </c>
      <c r="I102" s="41">
        <v>0.18109701355366514</v>
      </c>
      <c r="J102" s="41">
        <v>0.18464390882320864</v>
      </c>
      <c r="K102" s="42">
        <v>60.528559249786873</v>
      </c>
      <c r="L102" s="28">
        <v>39.986361636635898</v>
      </c>
      <c r="M102" s="28">
        <v>39.628310705541956</v>
      </c>
      <c r="N102" s="41">
        <v>0.53469561515538522</v>
      </c>
      <c r="O102" s="29">
        <v>2.1073825503355703</v>
      </c>
      <c r="P102" s="41">
        <v>0.14088895042924399</v>
      </c>
      <c r="Q102" s="43">
        <v>2.8297068137705588E-2</v>
      </c>
      <c r="R102" s="29">
        <v>-0.92857782112347709</v>
      </c>
      <c r="S102" s="44">
        <v>8819000000</v>
      </c>
      <c r="T102" s="44">
        <v>9169000000</v>
      </c>
      <c r="U102" s="44">
        <v>14741587968</v>
      </c>
      <c r="V102" s="29">
        <v>6.2300301923937358</v>
      </c>
      <c r="W102" s="29">
        <v>13.19821562085308</v>
      </c>
      <c r="X102" s="29">
        <v>10.806162833054159</v>
      </c>
      <c r="Y102" s="29">
        <v>13.451122669252946</v>
      </c>
      <c r="Z102" s="29">
        <v>7.232334658767205</v>
      </c>
      <c r="AA102" t="s">
        <v>71</v>
      </c>
      <c r="AB102" t="s">
        <v>75</v>
      </c>
      <c r="AC102" t="s">
        <v>152</v>
      </c>
    </row>
    <row r="103" spans="5:29" hidden="1" x14ac:dyDescent="0.25">
      <c r="E103" s="1" t="s">
        <v>443</v>
      </c>
      <c r="F103" s="1" t="s">
        <v>444</v>
      </c>
      <c r="G103" s="41">
        <v>-4.5632557490776639E-2</v>
      </c>
      <c r="H103" s="41">
        <v>0.19057426247711653</v>
      </c>
      <c r="I103" s="41">
        <v>-5.6424609726861107E-2</v>
      </c>
      <c r="J103" s="41">
        <v>9.2239840653364782E-2</v>
      </c>
      <c r="K103" s="42">
        <v>4.2324699936828809</v>
      </c>
      <c r="L103" s="28" t="e">
        <v>#N/A</v>
      </c>
      <c r="M103" s="28">
        <v>16.079900381801156</v>
      </c>
      <c r="N103" s="41">
        <v>0.12053673896826764</v>
      </c>
      <c r="O103" s="29">
        <v>0.99270450282811273</v>
      </c>
      <c r="P103" s="41">
        <v>0.6267804643372592</v>
      </c>
      <c r="Q103" s="43" t="e">
        <v>#N/A</v>
      </c>
      <c r="R103" s="29" t="e">
        <v>#N/A</v>
      </c>
      <c r="S103" s="44">
        <v>266568000</v>
      </c>
      <c r="T103" s="44">
        <v>550749000</v>
      </c>
      <c r="U103" s="44">
        <v>283234272</v>
      </c>
      <c r="V103" s="29">
        <v>5.4545696099714975</v>
      </c>
      <c r="W103" s="29">
        <v>15.087633660130718</v>
      </c>
      <c r="X103" s="29">
        <v>2.5744829072097613</v>
      </c>
      <c r="Y103" s="29">
        <v>13.60068382285934</v>
      </c>
      <c r="Z103" s="29">
        <v>0.5556399687611594</v>
      </c>
      <c r="AA103" t="s">
        <v>73</v>
      </c>
      <c r="AB103" t="s">
        <v>177</v>
      </c>
      <c r="AC103" t="s">
        <v>178</v>
      </c>
    </row>
    <row r="104" spans="5:29" hidden="1" x14ac:dyDescent="0.25">
      <c r="E104" s="1" t="s">
        <v>533</v>
      </c>
      <c r="F104" s="1" t="s">
        <v>534</v>
      </c>
      <c r="G104" s="41">
        <v>6.1849874647289894E-2</v>
      </c>
      <c r="H104" s="41">
        <v>0.1872869849890241</v>
      </c>
      <c r="I104" s="41">
        <v>6.1849874647289894E-2</v>
      </c>
      <c r="J104" s="41">
        <v>0.1872869849890241</v>
      </c>
      <c r="K104" s="42" t="e">
        <v>#N/A</v>
      </c>
      <c r="L104" s="28">
        <v>5.7408367135754617</v>
      </c>
      <c r="M104" s="28">
        <v>10.864939830647176</v>
      </c>
      <c r="N104" s="41" t="e">
        <v>#N/A</v>
      </c>
      <c r="O104" s="29" t="e">
        <v>#N/A</v>
      </c>
      <c r="P104" s="41">
        <v>0.62852025369017639</v>
      </c>
      <c r="Q104" s="43" t="e">
        <v>#N/A</v>
      </c>
      <c r="R104" s="29" t="e">
        <v>#N/A</v>
      </c>
      <c r="S104" s="44">
        <v>788090000</v>
      </c>
      <c r="T104" s="44">
        <v>788090000</v>
      </c>
      <c r="U104" s="44">
        <v>418245728</v>
      </c>
      <c r="V104" s="29" t="e">
        <v>#N/A</v>
      </c>
      <c r="W104" s="29" t="e">
        <v>#N/A</v>
      </c>
      <c r="X104" s="29" t="e">
        <v>#N/A</v>
      </c>
      <c r="Y104" s="29" t="e">
        <v>#N/A</v>
      </c>
      <c r="Z104" s="29">
        <v>0.61627349267463227</v>
      </c>
      <c r="AA104" t="s">
        <v>65</v>
      </c>
      <c r="AB104" t="s">
        <v>156</v>
      </c>
      <c r="AC104" t="s">
        <v>244</v>
      </c>
    </row>
    <row r="105" spans="5:29" hidden="1" x14ac:dyDescent="0.25">
      <c r="E105" s="1" t="s">
        <v>942</v>
      </c>
      <c r="F105" s="1" t="s">
        <v>943</v>
      </c>
      <c r="G105" s="41">
        <v>0.19198067424943568</v>
      </c>
      <c r="H105" s="41">
        <v>0.18652242210122649</v>
      </c>
      <c r="I105" s="41">
        <v>0.13455647768199847</v>
      </c>
      <c r="J105" s="41">
        <v>0.13546418037395888</v>
      </c>
      <c r="K105" s="42">
        <v>13.907890880098172</v>
      </c>
      <c r="L105" s="28">
        <v>16.004931168749543</v>
      </c>
      <c r="M105" s="28">
        <v>15.243463497453311</v>
      </c>
      <c r="N105" s="41">
        <v>0.38975331524781259</v>
      </c>
      <c r="O105" s="29">
        <v>2.2444192439862545</v>
      </c>
      <c r="P105" s="41">
        <v>0.55858108442349808</v>
      </c>
      <c r="Q105" s="43" t="e">
        <v>#N/A</v>
      </c>
      <c r="R105" s="29">
        <v>12.020168386611505</v>
      </c>
      <c r="S105" s="44">
        <v>715544000</v>
      </c>
      <c r="T105" s="44">
        <v>985242000</v>
      </c>
      <c r="U105" s="44">
        <v>1043254912</v>
      </c>
      <c r="V105" s="29">
        <v>9.5018963024054983</v>
      </c>
      <c r="W105" s="29">
        <v>12.927810514110453</v>
      </c>
      <c r="X105" s="29">
        <v>14.974863593069763</v>
      </c>
      <c r="Y105" s="29">
        <v>13.666957231699248</v>
      </c>
      <c r="Z105" s="29">
        <v>1.734915222459338</v>
      </c>
      <c r="AA105" t="s">
        <v>77</v>
      </c>
      <c r="AB105" t="s">
        <v>83</v>
      </c>
      <c r="AC105" t="s">
        <v>194</v>
      </c>
    </row>
    <row r="106" spans="5:29" hidden="1" x14ac:dyDescent="0.25">
      <c r="E106" s="1" t="s">
        <v>300</v>
      </c>
      <c r="F106" s="1" t="s">
        <v>301</v>
      </c>
      <c r="G106" s="41">
        <v>0.18435668518160789</v>
      </c>
      <c r="H106" s="41">
        <v>0.17998394432485829</v>
      </c>
      <c r="I106" s="41">
        <v>0.13826759935901578</v>
      </c>
      <c r="J106" s="41">
        <v>0.13766594460176068</v>
      </c>
      <c r="K106" s="42">
        <v>15.22815252949802</v>
      </c>
      <c r="L106" s="28">
        <v>7.3806180206299556</v>
      </c>
      <c r="M106" s="28">
        <v>9.3406491129485136</v>
      </c>
      <c r="N106" s="41">
        <v>0.32988547497863707</v>
      </c>
      <c r="O106" s="29">
        <v>3.7267677620543296</v>
      </c>
      <c r="P106" s="41">
        <v>0.16634832013619319</v>
      </c>
      <c r="Q106" s="43" t="e">
        <v>#N/A</v>
      </c>
      <c r="R106" s="29">
        <v>13.057976391579782</v>
      </c>
      <c r="S106" s="44">
        <v>3448002000</v>
      </c>
      <c r="T106" s="44">
        <v>4507905000</v>
      </c>
      <c r="U106" s="44">
        <v>5694207488</v>
      </c>
      <c r="V106" s="29">
        <v>10.398475112296937</v>
      </c>
      <c r="W106" s="29">
        <v>18.93641596483603</v>
      </c>
      <c r="X106" s="29">
        <v>-9.9282472792111935</v>
      </c>
      <c r="Y106" s="29">
        <v>45.464818837855887</v>
      </c>
      <c r="Z106" s="29">
        <v>3.585841732567479</v>
      </c>
      <c r="AA106" t="s">
        <v>77</v>
      </c>
      <c r="AB106" t="s">
        <v>90</v>
      </c>
      <c r="AC106" t="s">
        <v>105</v>
      </c>
    </row>
    <row r="107" spans="5:29" hidden="1" x14ac:dyDescent="0.25">
      <c r="E107" s="1" t="s">
        <v>499</v>
      </c>
      <c r="F107" s="1" t="s">
        <v>500</v>
      </c>
      <c r="G107" s="41">
        <v>8.1360993058410325E-2</v>
      </c>
      <c r="H107" s="41">
        <v>0.17957806799170423</v>
      </c>
      <c r="I107" s="41">
        <v>8.1360993058410325E-2</v>
      </c>
      <c r="J107" s="41">
        <v>0.17957806799170423</v>
      </c>
      <c r="K107" s="42">
        <v>18.370410154845082</v>
      </c>
      <c r="L107" s="28">
        <v>9.6549187572653672</v>
      </c>
      <c r="M107" s="28">
        <v>19.505369683864615</v>
      </c>
      <c r="N107" s="41">
        <v>0.4085527871936443</v>
      </c>
      <c r="O107" s="29">
        <v>6.7725802514341513</v>
      </c>
      <c r="P107" s="41">
        <v>0.20645490247330245</v>
      </c>
      <c r="Q107" s="43" t="e">
        <v>#N/A</v>
      </c>
      <c r="R107" s="29">
        <v>28.618871747534552</v>
      </c>
      <c r="S107" s="44">
        <v>548714000</v>
      </c>
      <c r="T107" s="44">
        <v>548714000</v>
      </c>
      <c r="U107" s="44">
        <v>426785184</v>
      </c>
      <c r="V107" s="29">
        <v>13.284010496765532</v>
      </c>
      <c r="W107" s="29">
        <v>14.812139498485932</v>
      </c>
      <c r="X107" s="29">
        <v>-46.627204378303816</v>
      </c>
      <c r="Y107" s="29">
        <v>10.774749716127555</v>
      </c>
      <c r="Z107" s="29">
        <v>1.8843967308018084</v>
      </c>
      <c r="AA107" t="s">
        <v>76</v>
      </c>
      <c r="AB107" t="s">
        <v>131</v>
      </c>
      <c r="AC107" t="s">
        <v>132</v>
      </c>
    </row>
    <row r="108" spans="5:29" hidden="1" x14ac:dyDescent="0.25">
      <c r="E108" s="1" t="s">
        <v>421</v>
      </c>
      <c r="F108" s="1" t="s">
        <v>422</v>
      </c>
      <c r="G108" s="41">
        <v>0.14803444937000668</v>
      </c>
      <c r="H108" s="41">
        <v>0.17877841305257286</v>
      </c>
      <c r="I108" s="41">
        <v>0.12868136973296171</v>
      </c>
      <c r="J108" s="41">
        <v>0.15536547886238372</v>
      </c>
      <c r="K108" s="42" t="e">
        <v>#N/A</v>
      </c>
      <c r="L108" s="28">
        <v>6.1783571504971153</v>
      </c>
      <c r="M108" s="28">
        <v>6.9408984011705401</v>
      </c>
      <c r="N108" s="41">
        <v>0.14436681781592869</v>
      </c>
      <c r="O108" s="29" t="e">
        <v>#N/A</v>
      </c>
      <c r="P108" s="41">
        <v>0.36186323977547807</v>
      </c>
      <c r="Q108" s="43" t="e">
        <v>#N/A</v>
      </c>
      <c r="R108" s="29" t="e">
        <v>#N/A</v>
      </c>
      <c r="S108" s="44">
        <v>358550000</v>
      </c>
      <c r="T108" s="44">
        <v>412582000</v>
      </c>
      <c r="U108" s="44">
        <v>301498560</v>
      </c>
      <c r="V108" s="29" t="e">
        <v>#N/A</v>
      </c>
      <c r="W108" s="29" t="e">
        <v>#N/A</v>
      </c>
      <c r="X108" s="29" t="e">
        <v>#N/A</v>
      </c>
      <c r="Y108" s="29" t="e">
        <v>#N/A</v>
      </c>
      <c r="Z108" s="29">
        <v>0.89616252285191966</v>
      </c>
      <c r="AA108" t="s">
        <v>73</v>
      </c>
      <c r="AB108" t="s">
        <v>127</v>
      </c>
      <c r="AC108" t="s">
        <v>128</v>
      </c>
    </row>
    <row r="109" spans="5:29" hidden="1" x14ac:dyDescent="0.25">
      <c r="E109" s="1" t="s">
        <v>373</v>
      </c>
      <c r="F109" s="1" t="s">
        <v>374</v>
      </c>
      <c r="G109" s="41">
        <v>0.1326062639239998</v>
      </c>
      <c r="H109" s="41">
        <v>0.17651896575933243</v>
      </c>
      <c r="I109" s="41">
        <v>0.12356919316263874</v>
      </c>
      <c r="J109" s="41">
        <v>0.16119528748019404</v>
      </c>
      <c r="K109" s="42" t="e">
        <v>#N/A</v>
      </c>
      <c r="L109" s="28">
        <v>18.537382284006085</v>
      </c>
      <c r="M109" s="28">
        <v>18.99072898130391</v>
      </c>
      <c r="N109" s="41" t="e">
        <v>#N/A</v>
      </c>
      <c r="O109" s="29" t="e">
        <v>#N/A</v>
      </c>
      <c r="P109" s="41">
        <v>0.33860013318147997</v>
      </c>
      <c r="Q109" s="43" t="e">
        <v>#N/A</v>
      </c>
      <c r="R109" s="29" t="e">
        <v>#N/A</v>
      </c>
      <c r="S109" s="44">
        <v>598236000</v>
      </c>
      <c r="T109" s="44">
        <v>655106000</v>
      </c>
      <c r="U109" s="44">
        <v>455993920</v>
      </c>
      <c r="V109" s="29" t="e">
        <v>#N/A</v>
      </c>
      <c r="W109" s="29" t="e">
        <v>#N/A</v>
      </c>
      <c r="X109" s="29" t="e">
        <v>#N/A</v>
      </c>
      <c r="Y109" s="29" t="e">
        <v>#N/A</v>
      </c>
      <c r="Z109" s="29">
        <v>0.86570596997974691</v>
      </c>
      <c r="AA109" t="s">
        <v>77</v>
      </c>
      <c r="AB109" t="s">
        <v>85</v>
      </c>
      <c r="AC109" t="s">
        <v>190</v>
      </c>
    </row>
    <row r="110" spans="5:29" hidden="1" x14ac:dyDescent="0.25">
      <c r="E110" s="1" t="s">
        <v>832</v>
      </c>
      <c r="F110" s="1" t="s">
        <v>833</v>
      </c>
      <c r="G110" s="41">
        <v>0.23911768953485737</v>
      </c>
      <c r="H110" s="41">
        <v>0.17583814497725636</v>
      </c>
      <c r="I110" s="41">
        <v>0.23911768953485737</v>
      </c>
      <c r="J110" s="41">
        <v>0.17583814497725636</v>
      </c>
      <c r="K110" s="42">
        <v>16.385418449426663</v>
      </c>
      <c r="L110" s="28">
        <v>45.258867645816146</v>
      </c>
      <c r="M110" s="28">
        <v>38.997280247799644</v>
      </c>
      <c r="N110" s="41">
        <v>3.6493536940566888E-2</v>
      </c>
      <c r="O110" s="29">
        <v>0.17681940700808632</v>
      </c>
      <c r="P110" s="41">
        <v>0.8422242620032504</v>
      </c>
      <c r="Q110" s="43" t="e">
        <v>#N/A</v>
      </c>
      <c r="R110" s="29">
        <v>12.175174223860175</v>
      </c>
      <c r="S110" s="44">
        <v>195879000</v>
      </c>
      <c r="T110" s="44">
        <v>195879000</v>
      </c>
      <c r="U110" s="44">
        <v>642800000</v>
      </c>
      <c r="V110" s="29">
        <v>12.552637658837119</v>
      </c>
      <c r="W110" s="29">
        <v>14.811085870059063</v>
      </c>
      <c r="X110" s="29" t="e">
        <v>#N/A</v>
      </c>
      <c r="Y110" s="29">
        <v>18.986191646075675</v>
      </c>
      <c r="Z110" s="29">
        <v>3.0364935953386327</v>
      </c>
      <c r="AA110" t="s">
        <v>66</v>
      </c>
      <c r="AB110" t="s">
        <v>84</v>
      </c>
      <c r="AC110" t="s">
        <v>237</v>
      </c>
    </row>
    <row r="111" spans="5:29" hidden="1" x14ac:dyDescent="0.25">
      <c r="E111" s="1" t="s">
        <v>445</v>
      </c>
      <c r="F111" s="1" t="s">
        <v>446</v>
      </c>
      <c r="G111" s="41">
        <v>0.17898378981486235</v>
      </c>
      <c r="H111" s="41">
        <v>0.17326955334606814</v>
      </c>
      <c r="I111" s="41">
        <v>0.16473055574827145</v>
      </c>
      <c r="J111" s="41">
        <v>0.16322634352054471</v>
      </c>
      <c r="K111" s="42">
        <v>16.061170232032513</v>
      </c>
      <c r="L111" s="28">
        <v>14.507396928785671</v>
      </c>
      <c r="M111" s="28">
        <v>14.187633841235751</v>
      </c>
      <c r="N111" s="41">
        <v>0.23650105717783146</v>
      </c>
      <c r="O111" s="29">
        <v>1.6359588898597761</v>
      </c>
      <c r="P111" s="41">
        <v>0.42338546944274269</v>
      </c>
      <c r="Q111" s="43" t="e">
        <v>#N/A</v>
      </c>
      <c r="R111" s="29">
        <v>14.280336148644162</v>
      </c>
      <c r="S111" s="44">
        <v>188983000</v>
      </c>
      <c r="T111" s="44">
        <v>200611000</v>
      </c>
      <c r="U111" s="44">
        <v>1492994048</v>
      </c>
      <c r="V111" s="29">
        <v>9.8512099196937548</v>
      </c>
      <c r="W111" s="29">
        <v>13.972741265344665</v>
      </c>
      <c r="X111" s="29">
        <v>-4.1836738590144718</v>
      </c>
      <c r="Y111" s="29">
        <v>17.783950251771063</v>
      </c>
      <c r="Z111" s="29">
        <v>2.7016359987304202</v>
      </c>
      <c r="AA111" t="s">
        <v>77</v>
      </c>
      <c r="AB111" t="s">
        <v>111</v>
      </c>
      <c r="AC111" t="s">
        <v>193</v>
      </c>
    </row>
    <row r="112" spans="5:29" hidden="1" x14ac:dyDescent="0.25">
      <c r="E112" s="1" t="s">
        <v>310</v>
      </c>
      <c r="F112" s="1" t="s">
        <v>311</v>
      </c>
      <c r="G112" s="41">
        <v>0.19618670765186424</v>
      </c>
      <c r="H112" s="41">
        <v>0.16788684428159145</v>
      </c>
      <c r="I112" s="41">
        <v>0.15904584934235538</v>
      </c>
      <c r="J112" s="41">
        <v>0.12822978097021531</v>
      </c>
      <c r="K112" s="42" t="e">
        <v>#N/A</v>
      </c>
      <c r="L112" s="28">
        <v>6.5340331427120546</v>
      </c>
      <c r="M112" s="28">
        <v>6.4712501007495771</v>
      </c>
      <c r="N112" s="41">
        <v>0.32096587910448898</v>
      </c>
      <c r="O112" s="29" t="e">
        <v>#N/A</v>
      </c>
      <c r="P112" s="41">
        <v>0.22021300824242609</v>
      </c>
      <c r="Q112" s="43" t="e">
        <v>#N/A</v>
      </c>
      <c r="R112" s="29" t="e">
        <v>#N/A</v>
      </c>
      <c r="S112" s="44">
        <v>409913000</v>
      </c>
      <c r="T112" s="44">
        <v>536685000</v>
      </c>
      <c r="U112" s="44">
        <v>313337344</v>
      </c>
      <c r="V112" s="29" t="e">
        <v>#N/A</v>
      </c>
      <c r="W112" s="29" t="e">
        <v>#N/A</v>
      </c>
      <c r="X112" s="29" t="e">
        <v>#N/A</v>
      </c>
      <c r="Y112" s="29" t="e">
        <v>#N/A</v>
      </c>
      <c r="Z112" s="29">
        <v>2.2073282839737187</v>
      </c>
      <c r="AA112" t="s">
        <v>91</v>
      </c>
      <c r="AB112" t="s">
        <v>94</v>
      </c>
      <c r="AC112" t="s">
        <v>126</v>
      </c>
    </row>
    <row r="113" spans="1:29" hidden="1" x14ac:dyDescent="0.25">
      <c r="E113" s="1" t="s">
        <v>573</v>
      </c>
      <c r="F113" s="1" t="s">
        <v>574</v>
      </c>
      <c r="G113" s="41">
        <v>3.4956894704921027E-2</v>
      </c>
      <c r="H113" s="41">
        <v>0.16730205722812835</v>
      </c>
      <c r="I113" s="41">
        <v>3.4956894704921027E-2</v>
      </c>
      <c r="J113" s="41">
        <v>0.16730205722812835</v>
      </c>
      <c r="K113" s="42" t="e">
        <v>#N/A</v>
      </c>
      <c r="L113" s="28" t="e">
        <v>#N/A</v>
      </c>
      <c r="M113" s="28" t="e">
        <v>#N/A</v>
      </c>
      <c r="N113" s="41">
        <v>0.43245163130391057</v>
      </c>
      <c r="O113" s="29">
        <v>0.73236904946005055</v>
      </c>
      <c r="P113" s="41">
        <v>0.5343263722573679</v>
      </c>
      <c r="Q113" s="43" t="e">
        <v>#N/A</v>
      </c>
      <c r="R113" s="29" t="e">
        <v>#N/A</v>
      </c>
      <c r="S113" s="44">
        <v>1419337000</v>
      </c>
      <c r="T113" s="44">
        <v>1419337000</v>
      </c>
      <c r="U113" s="44">
        <v>300500000</v>
      </c>
      <c r="V113" s="29">
        <v>1.034126169622648</v>
      </c>
      <c r="W113" s="29">
        <v>1.034126169622648</v>
      </c>
      <c r="X113" s="29">
        <v>13.204326123128119</v>
      </c>
      <c r="Y113" s="29">
        <v>5.4542379688317655E-2</v>
      </c>
      <c r="Z113" s="29">
        <v>0.33846505542503991</v>
      </c>
      <c r="AA113" t="s">
        <v>65</v>
      </c>
      <c r="AB113" t="s">
        <v>79</v>
      </c>
      <c r="AC113" t="s">
        <v>175</v>
      </c>
    </row>
    <row r="114" spans="1:29" hidden="1" x14ac:dyDescent="0.25">
      <c r="E114" s="1" t="s">
        <v>290</v>
      </c>
      <c r="F114" s="1" t="s">
        <v>291</v>
      </c>
      <c r="G114" s="41">
        <v>0.13633194993177147</v>
      </c>
      <c r="H114" s="41">
        <v>0.16651663715084938</v>
      </c>
      <c r="I114" s="41">
        <v>0.11724415014290886</v>
      </c>
      <c r="J114" s="41">
        <v>0.14647614676985335</v>
      </c>
      <c r="K114" s="42">
        <v>13.30699978098067</v>
      </c>
      <c r="L114" s="28">
        <v>11.419384834483738</v>
      </c>
      <c r="M114" s="28">
        <v>13.268646805553026</v>
      </c>
      <c r="N114" s="41">
        <v>0.27564852996984468</v>
      </c>
      <c r="O114" s="29">
        <v>1.7622843437201918</v>
      </c>
      <c r="P114" s="41">
        <v>0.40540697155849109</v>
      </c>
      <c r="Q114" s="43" t="e">
        <v>#N/A</v>
      </c>
      <c r="R114" s="29">
        <v>7.3916398215371313</v>
      </c>
      <c r="S114" s="44">
        <v>1054237000</v>
      </c>
      <c r="T114" s="44">
        <v>1198475000</v>
      </c>
      <c r="U114" s="44">
        <v>3839424768</v>
      </c>
      <c r="V114" s="29">
        <v>5.8804948646199025</v>
      </c>
      <c r="W114" s="29">
        <v>9.6153867938570663</v>
      </c>
      <c r="X114" s="29">
        <v>11.216624714342679</v>
      </c>
      <c r="Y114" s="29">
        <v>12.310401996870899</v>
      </c>
      <c r="Z114" s="29">
        <v>1.4902330409243565</v>
      </c>
      <c r="AA114" t="s">
        <v>76</v>
      </c>
      <c r="AB114" t="s">
        <v>167</v>
      </c>
      <c r="AC114" t="s">
        <v>183</v>
      </c>
    </row>
    <row r="115" spans="1:29" hidden="1" x14ac:dyDescent="0.25">
      <c r="E115" s="1" t="s">
        <v>298</v>
      </c>
      <c r="F115" s="1" t="s">
        <v>299</v>
      </c>
      <c r="G115" s="41">
        <v>0.11747810363020524</v>
      </c>
      <c r="H115" s="41">
        <v>0.16422047446006632</v>
      </c>
      <c r="I115" s="41">
        <v>0.11643543302160742</v>
      </c>
      <c r="J115" s="41">
        <v>0.16227727988050467</v>
      </c>
      <c r="K115" s="42">
        <v>32.765477154828531</v>
      </c>
      <c r="L115" s="28">
        <v>18.507849882801995</v>
      </c>
      <c r="M115" s="28">
        <v>23.776057667719819</v>
      </c>
      <c r="N115" s="41">
        <v>0.4574594292972563</v>
      </c>
      <c r="O115" s="29">
        <v>6.9377658252824501</v>
      </c>
      <c r="P115" s="41">
        <v>0.24391829092847825</v>
      </c>
      <c r="Q115" s="43" t="e">
        <v>#N/A</v>
      </c>
      <c r="R115" s="29">
        <v>19.92987522186511</v>
      </c>
      <c r="S115" s="44">
        <v>1185516000</v>
      </c>
      <c r="T115" s="44">
        <v>1199712000</v>
      </c>
      <c r="U115" s="44">
        <v>441601344</v>
      </c>
      <c r="V115" s="29">
        <v>10.574630906619506</v>
      </c>
      <c r="W115" s="29">
        <v>10.702113366073013</v>
      </c>
      <c r="X115" s="29">
        <v>-58.824322781046611</v>
      </c>
      <c r="Y115" s="29">
        <v>4.1894608003935767</v>
      </c>
      <c r="Z115" s="29">
        <v>0.9786493943976825</v>
      </c>
      <c r="AA115" t="s">
        <v>66</v>
      </c>
      <c r="AB115" t="s">
        <v>78</v>
      </c>
      <c r="AC115" t="s">
        <v>121</v>
      </c>
    </row>
    <row r="116" spans="1:29" hidden="1" x14ac:dyDescent="0.25">
      <c r="E116" s="1" t="s">
        <v>714</v>
      </c>
      <c r="F116" s="1" t="s">
        <v>715</v>
      </c>
      <c r="G116" s="41">
        <v>0.18864729541950095</v>
      </c>
      <c r="H116" s="41">
        <v>0.16412128117934019</v>
      </c>
      <c r="I116" s="41">
        <v>0.10894958412538196</v>
      </c>
      <c r="J116" s="41">
        <v>0.11757368284109403</v>
      </c>
      <c r="K116" s="42">
        <v>7.8049572684273567</v>
      </c>
      <c r="L116" s="28">
        <v>18.01597232814331</v>
      </c>
      <c r="M116" s="28">
        <v>16.501071992778154</v>
      </c>
      <c r="N116" s="41">
        <v>-4.2362878381998398E-2</v>
      </c>
      <c r="O116" s="29">
        <v>-0.33162947671942072</v>
      </c>
      <c r="P116" s="41">
        <v>0.97808641413899222</v>
      </c>
      <c r="Q116" s="43">
        <v>4.1004322460259347E-2</v>
      </c>
      <c r="R116" s="29">
        <v>20.817273529192509</v>
      </c>
      <c r="S116" s="44">
        <v>280835000</v>
      </c>
      <c r="T116" s="44">
        <v>392018000</v>
      </c>
      <c r="U116" s="44">
        <v>3495348736</v>
      </c>
      <c r="V116" s="29">
        <v>7.2383772731740885</v>
      </c>
      <c r="W116" s="29">
        <v>10.067587376096617</v>
      </c>
      <c r="X116" s="29" t="e">
        <v>#N/A</v>
      </c>
      <c r="Y116" s="29">
        <v>11.368923049557976</v>
      </c>
      <c r="Z116" s="29">
        <v>0.9912397284917871</v>
      </c>
      <c r="AA116" t="s">
        <v>73</v>
      </c>
      <c r="AB116" t="s">
        <v>203</v>
      </c>
      <c r="AC116" t="s">
        <v>204</v>
      </c>
    </row>
    <row r="117" spans="1:29" hidden="1" x14ac:dyDescent="0.25">
      <c r="E117" s="1" t="s">
        <v>935</v>
      </c>
      <c r="F117" s="1" t="s">
        <v>936</v>
      </c>
      <c r="G117" s="41">
        <v>0.30725061929644443</v>
      </c>
      <c r="H117" s="41">
        <v>0.15919514911139396</v>
      </c>
      <c r="I117" s="41">
        <v>0.30725061929644443</v>
      </c>
      <c r="J117" s="41">
        <v>0.15919514911139396</v>
      </c>
      <c r="K117" s="42">
        <v>38.444157033652225</v>
      </c>
      <c r="L117" s="28">
        <v>17.844055097193625</v>
      </c>
      <c r="M117" s="28">
        <v>17.998838673876172</v>
      </c>
      <c r="N117" s="41">
        <v>0.628733002980016</v>
      </c>
      <c r="O117" s="29">
        <v>3.3669245293924974</v>
      </c>
      <c r="P117" s="41">
        <v>0.16597150949998157</v>
      </c>
      <c r="Q117" s="43" t="e">
        <v>#N/A</v>
      </c>
      <c r="R117" s="29">
        <v>15.105744902293562</v>
      </c>
      <c r="S117" s="44">
        <v>778579000</v>
      </c>
      <c r="T117" s="44">
        <v>778579000</v>
      </c>
      <c r="U117" s="44">
        <v>976659840</v>
      </c>
      <c r="V117" s="29">
        <v>8.0987112001695536</v>
      </c>
      <c r="W117" s="29">
        <v>12.140406094302838</v>
      </c>
      <c r="X117" s="29">
        <v>21.074686556170878</v>
      </c>
      <c r="Y117" s="29">
        <v>12.902187301390686</v>
      </c>
      <c r="Z117" s="29">
        <v>5.4825202966482784</v>
      </c>
      <c r="AA117" t="s">
        <v>76</v>
      </c>
      <c r="AB117" t="s">
        <v>82</v>
      </c>
      <c r="AC117" t="s">
        <v>207</v>
      </c>
    </row>
    <row r="118" spans="1:29" hidden="1" x14ac:dyDescent="0.25">
      <c r="E118" s="1" t="s">
        <v>641</v>
      </c>
      <c r="F118" s="1" t="s">
        <v>642</v>
      </c>
      <c r="G118" s="41">
        <v>0.30847383174065529</v>
      </c>
      <c r="H118" s="41">
        <v>0.15575967594963649</v>
      </c>
      <c r="I118" s="41">
        <v>0.30533423824435929</v>
      </c>
      <c r="J118" s="41">
        <v>0.15002786835884196</v>
      </c>
      <c r="K118" s="42">
        <v>4.5497419200488389</v>
      </c>
      <c r="L118" s="28">
        <v>18.506199387295208</v>
      </c>
      <c r="M118" s="28">
        <v>12.548652488518341</v>
      </c>
      <c r="N118" s="41">
        <v>-0.18108579781947445</v>
      </c>
      <c r="O118" s="29" t="e">
        <v>#N/A</v>
      </c>
      <c r="P118" s="41">
        <v>0.77468633403095077</v>
      </c>
      <c r="Q118" s="43" t="e">
        <v>#N/A</v>
      </c>
      <c r="R118" s="29">
        <v>1.1284811799415098</v>
      </c>
      <c r="S118" s="44">
        <v>300694000</v>
      </c>
      <c r="T118" s="44">
        <v>312182000</v>
      </c>
      <c r="U118" s="44">
        <v>416939776</v>
      </c>
      <c r="V118" s="29" t="e">
        <v>#N/A</v>
      </c>
      <c r="W118" s="29">
        <v>16.26920127919372</v>
      </c>
      <c r="X118" s="29">
        <v>9.3020628475609861</v>
      </c>
      <c r="Y118" s="29">
        <v>25.606024021890146</v>
      </c>
      <c r="Z118" s="29">
        <v>1.1568350251633228</v>
      </c>
      <c r="AA118" t="s">
        <v>65</v>
      </c>
      <c r="AB118" t="s">
        <v>149</v>
      </c>
      <c r="AC118" t="s">
        <v>172</v>
      </c>
    </row>
    <row r="119" spans="1:29" hidden="1" x14ac:dyDescent="0.25">
      <c r="E119" s="1" t="s">
        <v>266</v>
      </c>
      <c r="F119" s="1" t="s">
        <v>267</v>
      </c>
      <c r="G119" s="41">
        <v>4.7050462326302035E-2</v>
      </c>
      <c r="H119" s="41">
        <v>0.15092787274888017</v>
      </c>
      <c r="I119" s="41">
        <v>4.6791934946985525E-2</v>
      </c>
      <c r="J119" s="41">
        <v>0.15014004583318177</v>
      </c>
      <c r="K119" s="42" t="e">
        <v>#N/A</v>
      </c>
      <c r="L119" s="28">
        <v>34.163992649080491</v>
      </c>
      <c r="M119" s="28">
        <v>82.222606141752706</v>
      </c>
      <c r="N119" s="41" t="e">
        <v>#N/A</v>
      </c>
      <c r="O119" s="29" t="e">
        <v>#N/A</v>
      </c>
      <c r="P119" s="41">
        <v>0.74167966096830662</v>
      </c>
      <c r="Q119" s="43" t="e">
        <v>#N/A</v>
      </c>
      <c r="R119" s="29" t="e">
        <v>#N/A</v>
      </c>
      <c r="S119" s="44">
        <v>109390000</v>
      </c>
      <c r="T119" s="44">
        <v>109964000</v>
      </c>
      <c r="U119" s="44">
        <v>293464608</v>
      </c>
      <c r="V119" s="29" t="e">
        <v>#N/A</v>
      </c>
      <c r="W119" s="29" t="e">
        <v>#N/A</v>
      </c>
      <c r="X119" s="29" t="e">
        <v>#N/A</v>
      </c>
      <c r="Y119" s="29" t="e">
        <v>#N/A</v>
      </c>
      <c r="Z119" s="29">
        <v>3.7760670278060147</v>
      </c>
      <c r="AA119" t="s">
        <v>77</v>
      </c>
      <c r="AB119" t="s">
        <v>85</v>
      </c>
      <c r="AC119" t="s">
        <v>201</v>
      </c>
    </row>
    <row r="120" spans="1:29" s="33" customFormat="1" x14ac:dyDescent="0.25">
      <c r="A120" s="33">
        <v>14</v>
      </c>
      <c r="B120" s="54"/>
      <c r="E120" s="51" t="s">
        <v>551</v>
      </c>
      <c r="F120" s="51" t="s">
        <v>552</v>
      </c>
      <c r="G120" s="52">
        <v>0.1672145650351087</v>
      </c>
      <c r="H120" s="52">
        <v>0.14965724761438928</v>
      </c>
      <c r="I120" s="52">
        <v>9.7924755560043791E-2</v>
      </c>
      <c r="J120" s="52">
        <v>9.0964811284778457E-2</v>
      </c>
      <c r="K120" s="53">
        <v>4.9300979162157539</v>
      </c>
      <c r="L120" s="54">
        <v>11.134657395062073</v>
      </c>
      <c r="M120" s="54">
        <v>10.897792979795696</v>
      </c>
      <c r="N120" s="52">
        <v>0.17701192166673227</v>
      </c>
      <c r="O120" s="55">
        <v>2.4108100341458472</v>
      </c>
      <c r="P120" s="52">
        <v>0.58802887806429305</v>
      </c>
      <c r="Q120" s="56" t="e">
        <v>#N/A</v>
      </c>
      <c r="R120" s="55">
        <v>10.203163029541576</v>
      </c>
      <c r="S120" s="57">
        <v>2328649000</v>
      </c>
      <c r="T120" s="57">
        <v>3831143000</v>
      </c>
      <c r="U120" s="57">
        <v>33722609664</v>
      </c>
      <c r="V120" s="55">
        <v>17.453683099496264</v>
      </c>
      <c r="W120" s="55">
        <v>26.527237863279485</v>
      </c>
      <c r="X120" s="55">
        <v>-0.84163525886514168</v>
      </c>
      <c r="Y120" s="55">
        <v>34.623829618223063</v>
      </c>
      <c r="Z120" s="55">
        <v>3.1788008843078797</v>
      </c>
      <c r="AA120" s="33" t="s">
        <v>77</v>
      </c>
      <c r="AB120" s="33" t="s">
        <v>181</v>
      </c>
      <c r="AC120" s="33" t="s">
        <v>242</v>
      </c>
    </row>
    <row r="121" spans="1:29" hidden="1" x14ac:dyDescent="0.25">
      <c r="E121" s="1" t="s">
        <v>613</v>
      </c>
      <c r="F121" s="1" t="s">
        <v>614</v>
      </c>
      <c r="G121" s="41">
        <v>0.12043228815498627</v>
      </c>
      <c r="H121" s="41">
        <v>0.14835564728306661</v>
      </c>
      <c r="I121" s="41">
        <v>0.1200003233170234</v>
      </c>
      <c r="J121" s="41">
        <v>0.14804161373967267</v>
      </c>
      <c r="K121" s="42" t="e">
        <v>#N/A</v>
      </c>
      <c r="L121" s="28">
        <v>15.932843625893735</v>
      </c>
      <c r="M121" s="28">
        <v>26.145446512505387</v>
      </c>
      <c r="N121" s="41">
        <v>0.2194586235561701</v>
      </c>
      <c r="O121" s="29" t="e">
        <v>#N/A</v>
      </c>
      <c r="P121" s="41">
        <v>0.41769241720905625</v>
      </c>
      <c r="Q121" s="43" t="e">
        <v>#N/A</v>
      </c>
      <c r="R121" s="29" t="e">
        <v>#N/A</v>
      </c>
      <c r="S121" s="44">
        <v>1045609000</v>
      </c>
      <c r="T121" s="44">
        <v>1047827000</v>
      </c>
      <c r="U121" s="44">
        <v>700230272</v>
      </c>
      <c r="V121" s="29" t="e">
        <v>#N/A</v>
      </c>
      <c r="W121" s="29" t="e">
        <v>#N/A</v>
      </c>
      <c r="X121" s="29" t="e">
        <v>#N/A</v>
      </c>
      <c r="Y121" s="29" t="e">
        <v>#N/A</v>
      </c>
      <c r="Z121" s="29">
        <v>0.9987571913527038</v>
      </c>
      <c r="AA121" t="s">
        <v>66</v>
      </c>
      <c r="AB121" t="s">
        <v>78</v>
      </c>
      <c r="AC121" t="s">
        <v>121</v>
      </c>
    </row>
    <row r="122" spans="1:29" hidden="1" x14ac:dyDescent="0.25">
      <c r="E122" s="1" t="s">
        <v>637</v>
      </c>
      <c r="F122" s="1" t="s">
        <v>638</v>
      </c>
      <c r="G122" s="41">
        <v>0.26486635400922298</v>
      </c>
      <c r="H122" s="41">
        <v>0.14794501636268367</v>
      </c>
      <c r="I122" s="41">
        <v>0.24822190157268093</v>
      </c>
      <c r="J122" s="41">
        <v>0.14155434488110616</v>
      </c>
      <c r="K122" s="42">
        <v>11.027822870137541</v>
      </c>
      <c r="L122" s="28">
        <v>15.852295576351334</v>
      </c>
      <c r="M122" s="28">
        <v>12.148766034338346</v>
      </c>
      <c r="N122" s="41">
        <v>-0.25507513961954653</v>
      </c>
      <c r="O122" s="29">
        <v>-2.0738627906284424</v>
      </c>
      <c r="P122" s="41">
        <v>0.79845265451937886</v>
      </c>
      <c r="Q122" s="43" t="e">
        <v>#N/A</v>
      </c>
      <c r="R122" s="29">
        <v>6.8555205088221669</v>
      </c>
      <c r="S122" s="44">
        <v>1274852000</v>
      </c>
      <c r="T122" s="44">
        <v>1332407000</v>
      </c>
      <c r="U122" s="44">
        <v>3059712000</v>
      </c>
      <c r="V122" s="29">
        <v>9.3685883123455689</v>
      </c>
      <c r="W122" s="29">
        <v>11.118431337911542</v>
      </c>
      <c r="X122" s="29">
        <v>2.9543303422021419</v>
      </c>
      <c r="Y122" s="29">
        <v>15.759265510142392</v>
      </c>
      <c r="Z122" s="29">
        <v>1.756049551843323</v>
      </c>
      <c r="AA122" t="s">
        <v>65</v>
      </c>
      <c r="AB122" t="s">
        <v>79</v>
      </c>
      <c r="AC122" t="s">
        <v>224</v>
      </c>
    </row>
    <row r="123" spans="1:29" hidden="1" x14ac:dyDescent="0.25">
      <c r="E123" s="1" t="s">
        <v>403</v>
      </c>
      <c r="F123" s="1" t="s">
        <v>404</v>
      </c>
      <c r="G123" s="41">
        <v>0.10210690182307951</v>
      </c>
      <c r="H123" s="41">
        <v>0.14716337267169061</v>
      </c>
      <c r="I123" s="41">
        <v>9.1981673699823574E-2</v>
      </c>
      <c r="J123" s="41">
        <v>0.11237785016286644</v>
      </c>
      <c r="K123" s="42">
        <v>7.9861966970667986</v>
      </c>
      <c r="L123" s="28">
        <v>13.147216018774909</v>
      </c>
      <c r="M123" s="28">
        <v>12.180302388017521</v>
      </c>
      <c r="N123" s="41">
        <v>0.34714206656652702</v>
      </c>
      <c r="O123" s="29">
        <v>4.0582255083179302</v>
      </c>
      <c r="P123" s="41">
        <v>0.28524214218265209</v>
      </c>
      <c r="Q123" s="43" t="e">
        <v>#N/A</v>
      </c>
      <c r="R123" s="29">
        <v>9.5459582947326673</v>
      </c>
      <c r="S123" s="44">
        <v>7033000000</v>
      </c>
      <c r="T123" s="44">
        <v>9210000000</v>
      </c>
      <c r="U123" s="44">
        <v>3422515712</v>
      </c>
      <c r="V123" s="29">
        <v>7.2204396598890943</v>
      </c>
      <c r="W123" s="29">
        <v>16.009253508196721</v>
      </c>
      <c r="X123" s="29">
        <v>20.686537610846184</v>
      </c>
      <c r="Y123" s="29">
        <v>4.4317652470885207</v>
      </c>
      <c r="Z123" s="29">
        <v>0.80659087423167841</v>
      </c>
      <c r="AA123" t="s">
        <v>69</v>
      </c>
      <c r="AB123" t="s">
        <v>159</v>
      </c>
      <c r="AC123" t="s">
        <v>160</v>
      </c>
    </row>
    <row r="124" spans="1:29" hidden="1" x14ac:dyDescent="0.25">
      <c r="E124" s="1" t="s">
        <v>362</v>
      </c>
      <c r="F124" s="1" t="s">
        <v>363</v>
      </c>
      <c r="G124" s="41">
        <v>0.16166457388634109</v>
      </c>
      <c r="H124" s="41">
        <v>0.14533296439771259</v>
      </c>
      <c r="I124" s="41">
        <v>0.16166457388634109</v>
      </c>
      <c r="J124" s="41">
        <v>0.14533296439771259</v>
      </c>
      <c r="K124" s="42" t="e">
        <v>#N/A</v>
      </c>
      <c r="L124" s="28">
        <v>20.185949062292824</v>
      </c>
      <c r="M124" s="28">
        <v>20.347473514409032</v>
      </c>
      <c r="N124" s="41" t="e">
        <v>#N/A</v>
      </c>
      <c r="O124" s="29" t="e">
        <v>#N/A</v>
      </c>
      <c r="P124" s="41">
        <v>0.40507052189890547</v>
      </c>
      <c r="Q124" s="43" t="e">
        <v>#N/A</v>
      </c>
      <c r="R124" s="29" t="e">
        <v>#N/A</v>
      </c>
      <c r="S124" s="44">
        <v>216840000</v>
      </c>
      <c r="T124" s="44">
        <v>216840000</v>
      </c>
      <c r="U124" s="44">
        <v>278423040</v>
      </c>
      <c r="V124" s="29" t="e">
        <v>#N/A</v>
      </c>
      <c r="W124" s="29" t="e">
        <v>#N/A</v>
      </c>
      <c r="X124" s="29" t="e">
        <v>#N/A</v>
      </c>
      <c r="Y124" s="29" t="e">
        <v>#N/A</v>
      </c>
      <c r="Z124" s="29">
        <v>1.8093633657614099</v>
      </c>
      <c r="AA124" t="s">
        <v>73</v>
      </c>
      <c r="AB124" t="s">
        <v>169</v>
      </c>
      <c r="AC124" t="s">
        <v>239</v>
      </c>
    </row>
    <row r="125" spans="1:29" hidden="1" x14ac:dyDescent="0.25">
      <c r="E125" s="1" t="s">
        <v>976</v>
      </c>
      <c r="F125" s="1" t="s">
        <v>977</v>
      </c>
      <c r="G125" s="41" t="e">
        <v>#N/A</v>
      </c>
      <c r="H125" s="41">
        <v>0.14516741483212398</v>
      </c>
      <c r="I125" s="41" t="e">
        <v>#N/A</v>
      </c>
      <c r="J125" s="41">
        <v>0.14476604114621941</v>
      </c>
      <c r="K125" s="42">
        <v>15.882461831821388</v>
      </c>
      <c r="L125" s="28">
        <v>20.404088948748658</v>
      </c>
      <c r="M125" s="28">
        <v>22.090068542941832</v>
      </c>
      <c r="N125" s="41">
        <v>0.2603610809996813</v>
      </c>
      <c r="O125" s="29">
        <v>1.7420064348426731</v>
      </c>
      <c r="P125" s="41">
        <v>0.36753162996851341</v>
      </c>
      <c r="Q125" s="43" t="e">
        <v>#N/A</v>
      </c>
      <c r="R125" s="29" t="e">
        <v>#N/A</v>
      </c>
      <c r="S125" s="44">
        <v>1300960000</v>
      </c>
      <c r="T125" s="44">
        <v>1304567000</v>
      </c>
      <c r="U125" s="44">
        <v>3708790016</v>
      </c>
      <c r="V125" s="29">
        <v>11.372950850578174</v>
      </c>
      <c r="W125" s="29">
        <v>20.654205550708575</v>
      </c>
      <c r="X125" s="29">
        <v>2.7306479893198672</v>
      </c>
      <c r="Y125" s="29">
        <v>25.126159630769067</v>
      </c>
      <c r="Z125" s="29">
        <v>3.8834600304127656</v>
      </c>
      <c r="AA125" t="s">
        <v>76</v>
      </c>
      <c r="AB125" t="s">
        <v>82</v>
      </c>
      <c r="AC125" t="s">
        <v>171</v>
      </c>
    </row>
    <row r="126" spans="1:29" hidden="1" x14ac:dyDescent="0.25">
      <c r="E126" s="1" t="s">
        <v>700</v>
      </c>
      <c r="F126" s="1" t="s">
        <v>701</v>
      </c>
      <c r="G126" s="41">
        <v>0.47233479909000986</v>
      </c>
      <c r="H126" s="41">
        <v>0.13706670019908834</v>
      </c>
      <c r="I126" s="41">
        <v>0.37174451902787381</v>
      </c>
      <c r="J126" s="41">
        <v>0.13362520255259688</v>
      </c>
      <c r="K126" s="42">
        <v>13.345585624096113</v>
      </c>
      <c r="L126" s="28">
        <v>13.674221763387902</v>
      </c>
      <c r="M126" s="28">
        <v>7.4451227239612585</v>
      </c>
      <c r="N126" s="41">
        <v>-0.16217795714138078</v>
      </c>
      <c r="O126" s="29">
        <v>-1.7717848264983489</v>
      </c>
      <c r="P126" s="41">
        <v>0.53660260211452415</v>
      </c>
      <c r="Q126" s="43" t="e">
        <v>#N/A</v>
      </c>
      <c r="R126" s="29">
        <v>37.448762277514881</v>
      </c>
      <c r="S126" s="44">
        <v>1210995000</v>
      </c>
      <c r="T126" s="44">
        <v>1242184000</v>
      </c>
      <c r="U126" s="44">
        <v>8385261568</v>
      </c>
      <c r="V126" s="29">
        <v>17.911049901530212</v>
      </c>
      <c r="W126" s="29">
        <v>20.415585483577519</v>
      </c>
      <c r="X126" s="29">
        <v>-1.496220469481722</v>
      </c>
      <c r="Y126" s="29">
        <v>31.266976876018614</v>
      </c>
      <c r="Z126" s="29">
        <v>3.3271484671982936</v>
      </c>
      <c r="AA126" t="s">
        <v>69</v>
      </c>
      <c r="AB126" t="s">
        <v>70</v>
      </c>
      <c r="AC126" t="s">
        <v>70</v>
      </c>
    </row>
    <row r="127" spans="1:29" hidden="1" x14ac:dyDescent="0.25">
      <c r="E127" s="1" t="s">
        <v>649</v>
      </c>
      <c r="F127" s="1" t="s">
        <v>650</v>
      </c>
      <c r="G127" s="41">
        <v>-6.030529208178885E-2</v>
      </c>
      <c r="H127" s="41">
        <v>0.136310223266745</v>
      </c>
      <c r="I127" s="41">
        <v>-6.030529208178885E-2</v>
      </c>
      <c r="J127" s="41">
        <v>0.136310223266745</v>
      </c>
      <c r="K127" s="42">
        <v>6.8551236749116606</v>
      </c>
      <c r="L127" s="28">
        <v>19.051189302485149</v>
      </c>
      <c r="M127" s="28">
        <v>14.857142857142858</v>
      </c>
      <c r="N127" s="41">
        <v>2.3861260300930671E-2</v>
      </c>
      <c r="O127" s="29">
        <v>1.3379310344827586</v>
      </c>
      <c r="P127" s="41">
        <v>0.11914230658849576</v>
      </c>
      <c r="Q127" s="43" t="e">
        <v>#N/A</v>
      </c>
      <c r="R127" s="29" t="e">
        <v>#N/A</v>
      </c>
      <c r="S127" s="44">
        <v>1702000000</v>
      </c>
      <c r="T127" s="44">
        <v>1702000000</v>
      </c>
      <c r="U127" s="44">
        <v>3143335936</v>
      </c>
      <c r="V127" s="29">
        <v>8.5639906574712636</v>
      </c>
      <c r="W127" s="29">
        <v>13.696088</v>
      </c>
      <c r="X127" s="29">
        <v>-1.7179201046107977</v>
      </c>
      <c r="Y127" s="29">
        <v>16.393782383419687</v>
      </c>
      <c r="Z127" s="29">
        <v>1.0901049183757743</v>
      </c>
      <c r="AA127" t="s">
        <v>66</v>
      </c>
      <c r="AB127" t="s">
        <v>84</v>
      </c>
      <c r="AC127" t="s">
        <v>237</v>
      </c>
    </row>
    <row r="128" spans="1:29" hidden="1" x14ac:dyDescent="0.25">
      <c r="E128" s="1" t="s">
        <v>653</v>
      </c>
      <c r="F128" s="1" t="s">
        <v>654</v>
      </c>
      <c r="G128" s="41">
        <v>0.19089138908265466</v>
      </c>
      <c r="H128" s="41">
        <v>0.13392941685716991</v>
      </c>
      <c r="I128" s="41">
        <v>0.18133673698944136</v>
      </c>
      <c r="J128" s="41">
        <v>9.531832141172393E-2</v>
      </c>
      <c r="K128" s="42" t="e">
        <v>#N/A</v>
      </c>
      <c r="L128" s="28">
        <v>7.608475738004719</v>
      </c>
      <c r="M128" s="28">
        <v>8.2463310815103448</v>
      </c>
      <c r="N128" s="41" t="e">
        <v>#N/A</v>
      </c>
      <c r="O128" s="29" t="e">
        <v>#N/A</v>
      </c>
      <c r="P128" s="41">
        <v>0.4650291492224744</v>
      </c>
      <c r="Q128" s="43" t="e">
        <v>#N/A</v>
      </c>
      <c r="R128" s="29" t="e">
        <v>#N/A</v>
      </c>
      <c r="S128" s="44">
        <v>147854000</v>
      </c>
      <c r="T128" s="44">
        <v>207746000</v>
      </c>
      <c r="U128" s="44">
        <v>341104832</v>
      </c>
      <c r="V128" s="29" t="e">
        <v>#N/A</v>
      </c>
      <c r="W128" s="29" t="e">
        <v>#N/A</v>
      </c>
      <c r="X128" s="29" t="e">
        <v>#N/A</v>
      </c>
      <c r="Y128" s="29" t="e">
        <v>#N/A</v>
      </c>
      <c r="Z128" s="29">
        <v>1.3258783090644379</v>
      </c>
      <c r="AA128" t="s">
        <v>77</v>
      </c>
      <c r="AB128" t="s">
        <v>90</v>
      </c>
      <c r="AC128" t="s">
        <v>105</v>
      </c>
    </row>
    <row r="129" spans="5:29" hidden="1" x14ac:dyDescent="0.25">
      <c r="E129" s="1" t="s">
        <v>956</v>
      </c>
      <c r="F129" s="1" t="s">
        <v>957</v>
      </c>
      <c r="G129" s="41" t="e">
        <v>#N/A</v>
      </c>
      <c r="H129" s="41">
        <v>0.13384252499157587</v>
      </c>
      <c r="I129" s="41" t="e">
        <v>#N/A</v>
      </c>
      <c r="J129" s="41">
        <v>0.13384252499157587</v>
      </c>
      <c r="K129" s="42" t="e">
        <v>#N/A</v>
      </c>
      <c r="L129" s="28">
        <v>53.422580079382747</v>
      </c>
      <c r="M129" s="28">
        <v>66.257173765562243</v>
      </c>
      <c r="N129" s="41" t="e">
        <v>#N/A</v>
      </c>
      <c r="O129" s="29" t="e">
        <v>#N/A</v>
      </c>
      <c r="P129" s="41">
        <v>0.15881730930792837</v>
      </c>
      <c r="Q129" s="43" t="e">
        <v>#N/A</v>
      </c>
      <c r="R129" s="29" t="e">
        <v>#N/A</v>
      </c>
      <c r="S129" s="44">
        <v>267090000.00000003</v>
      </c>
      <c r="T129" s="44">
        <v>267090000.00000003</v>
      </c>
      <c r="U129" s="44">
        <v>271554848</v>
      </c>
      <c r="V129" s="29" t="e">
        <v>#N/A</v>
      </c>
      <c r="W129" s="29" t="e">
        <v>#N/A</v>
      </c>
      <c r="X129" s="29" t="e">
        <v>#N/A</v>
      </c>
      <c r="Y129" s="29" t="e">
        <v>#N/A</v>
      </c>
      <c r="Z129" s="29">
        <v>2.2070439862542957</v>
      </c>
      <c r="AA129" t="s">
        <v>66</v>
      </c>
      <c r="AB129" t="s">
        <v>84</v>
      </c>
      <c r="AC129" t="s">
        <v>165</v>
      </c>
    </row>
    <row r="130" spans="5:29" hidden="1" x14ac:dyDescent="0.25">
      <c r="E130" s="1" t="s">
        <v>623</v>
      </c>
      <c r="F130" s="1" t="s">
        <v>624</v>
      </c>
      <c r="G130" s="41">
        <v>0.11182270429044863</v>
      </c>
      <c r="H130" s="41">
        <v>0.13314625850340137</v>
      </c>
      <c r="I130" s="41">
        <v>0.10963667583594483</v>
      </c>
      <c r="J130" s="41">
        <v>0.1311848076520282</v>
      </c>
      <c r="K130" s="42" t="e">
        <v>#N/A</v>
      </c>
      <c r="L130" s="28">
        <v>15.214368721759314</v>
      </c>
      <c r="M130" s="28">
        <v>18.330341976218712</v>
      </c>
      <c r="N130" s="41" t="e">
        <v>#N/A</v>
      </c>
      <c r="O130" s="29" t="e">
        <v>#N/A</v>
      </c>
      <c r="P130" s="41">
        <v>0.57981604748907201</v>
      </c>
      <c r="Q130" s="43" t="e">
        <v>#N/A</v>
      </c>
      <c r="R130" s="29" t="e">
        <v>#N/A</v>
      </c>
      <c r="S130" s="44">
        <v>352800000</v>
      </c>
      <c r="T130" s="44">
        <v>358075000</v>
      </c>
      <c r="U130" s="44">
        <v>390585280</v>
      </c>
      <c r="V130" s="29" t="e">
        <v>#N/A</v>
      </c>
      <c r="W130" s="29" t="e">
        <v>#N/A</v>
      </c>
      <c r="X130" s="29" t="e">
        <v>#N/A</v>
      </c>
      <c r="Y130" s="29" t="e">
        <v>#N/A</v>
      </c>
      <c r="Z130" s="29">
        <v>1.3085393264351146</v>
      </c>
      <c r="AA130" t="s">
        <v>77</v>
      </c>
      <c r="AB130" t="s">
        <v>85</v>
      </c>
      <c r="AC130" t="s">
        <v>114</v>
      </c>
    </row>
    <row r="131" spans="5:29" hidden="1" x14ac:dyDescent="0.25">
      <c r="E131" s="1" t="s">
        <v>1013</v>
      </c>
      <c r="F131" s="1" t="s">
        <v>1014</v>
      </c>
      <c r="G131" s="41" t="e">
        <v>#N/A</v>
      </c>
      <c r="H131" s="41">
        <v>0.13272786111720064</v>
      </c>
      <c r="I131" s="41" t="e">
        <v>#N/A</v>
      </c>
      <c r="J131" s="41">
        <v>0.12896001493024775</v>
      </c>
      <c r="K131" s="42">
        <v>12.696713647842156</v>
      </c>
      <c r="L131" s="28">
        <v>13.750995811094878</v>
      </c>
      <c r="M131" s="28">
        <v>18.787872213483755</v>
      </c>
      <c r="N131" s="41">
        <v>-2.0109589093742757E-3</v>
      </c>
      <c r="O131" s="29">
        <v>-2.007847200237927E-2</v>
      </c>
      <c r="P131" s="41">
        <v>0.45388707336334883</v>
      </c>
      <c r="Q131" s="43" t="e">
        <v>#N/A</v>
      </c>
      <c r="R131" s="29" t="e">
        <v>#N/A</v>
      </c>
      <c r="S131" s="44">
        <v>478965000</v>
      </c>
      <c r="T131" s="44">
        <v>492959000</v>
      </c>
      <c r="U131" s="44">
        <v>1068201728</v>
      </c>
      <c r="V131" s="29">
        <v>10.245975460711236</v>
      </c>
      <c r="W131" s="29">
        <v>14.187708926673752</v>
      </c>
      <c r="X131" s="29">
        <v>3.3637841110101632</v>
      </c>
      <c r="Y131" s="29">
        <v>18.391160265112195</v>
      </c>
      <c r="Z131" s="29">
        <v>2.206607188547316</v>
      </c>
      <c r="AA131" t="s">
        <v>77</v>
      </c>
      <c r="AB131" t="s">
        <v>90</v>
      </c>
      <c r="AC131" t="s">
        <v>125</v>
      </c>
    </row>
    <row r="132" spans="5:29" hidden="1" x14ac:dyDescent="0.25">
      <c r="E132" s="1" t="s">
        <v>405</v>
      </c>
      <c r="F132" s="1" t="s">
        <v>406</v>
      </c>
      <c r="G132" s="41">
        <v>0.14502015459196235</v>
      </c>
      <c r="H132" s="41">
        <v>0.13164127338674975</v>
      </c>
      <c r="I132" s="41">
        <v>0.14502015459196235</v>
      </c>
      <c r="J132" s="41">
        <v>0.13164127338674975</v>
      </c>
      <c r="K132" s="42">
        <v>13.789776453688699</v>
      </c>
      <c r="L132" s="28">
        <v>8.0353942420946858</v>
      </c>
      <c r="M132" s="28">
        <v>8.893936141992782</v>
      </c>
      <c r="N132" s="41">
        <v>2.9484715804918463E-2</v>
      </c>
      <c r="O132" s="29">
        <v>0.3857977195994704</v>
      </c>
      <c r="P132" s="41">
        <v>0.37338600652070192</v>
      </c>
      <c r="Q132" s="43" t="e">
        <v>#N/A</v>
      </c>
      <c r="R132" s="29">
        <v>45.504731853004465</v>
      </c>
      <c r="S132" s="44">
        <v>3903920000</v>
      </c>
      <c r="T132" s="44">
        <v>3903920000</v>
      </c>
      <c r="U132" s="44">
        <v>3986814720</v>
      </c>
      <c r="V132" s="29">
        <v>8.6895724702579766</v>
      </c>
      <c r="W132" s="29">
        <v>10.573741206882364</v>
      </c>
      <c r="X132" s="29">
        <v>17.844220260127866</v>
      </c>
      <c r="Y132" s="29">
        <v>17.137257837037602</v>
      </c>
      <c r="Z132" s="29">
        <v>2.0880319807982115</v>
      </c>
      <c r="AA132" t="s">
        <v>69</v>
      </c>
      <c r="AB132" t="s">
        <v>159</v>
      </c>
      <c r="AC132" t="s">
        <v>186</v>
      </c>
    </row>
    <row r="133" spans="5:29" hidden="1" x14ac:dyDescent="0.25">
      <c r="E133" s="1" t="s">
        <v>1040</v>
      </c>
      <c r="F133" s="1" t="s">
        <v>1041</v>
      </c>
      <c r="G133" s="41" t="e">
        <v>#N/A</v>
      </c>
      <c r="H133" s="41">
        <v>0.12987601601087403</v>
      </c>
      <c r="I133" s="41" t="e">
        <v>#N/A</v>
      </c>
      <c r="J133" s="41">
        <v>0.12987601601087403</v>
      </c>
      <c r="K133" s="42" t="e">
        <v>#N/A</v>
      </c>
      <c r="L133" s="28" t="e">
        <v>#N/A</v>
      </c>
      <c r="M133" s="28">
        <v>40.812837763317532</v>
      </c>
      <c r="N133" s="41">
        <v>-0.11354681956577886</v>
      </c>
      <c r="O133" s="29" t="e">
        <v>#N/A</v>
      </c>
      <c r="P133" s="41">
        <v>1.2658416427056027</v>
      </c>
      <c r="Q133" s="43" t="e">
        <v>#N/A</v>
      </c>
      <c r="R133" s="29" t="e">
        <v>#N/A</v>
      </c>
      <c r="S133" s="44">
        <v>272110965.60000002</v>
      </c>
      <c r="T133" s="44">
        <v>272110965.60000002</v>
      </c>
      <c r="U133" s="44">
        <v>681385728</v>
      </c>
      <c r="V133" s="29" t="e">
        <v>#N/A</v>
      </c>
      <c r="W133" s="29" t="e">
        <v>#N/A</v>
      </c>
      <c r="X133" s="29" t="e">
        <v>#N/A</v>
      </c>
      <c r="Y133" s="29" t="e">
        <v>#N/A</v>
      </c>
      <c r="Z133" s="29">
        <v>4.3483787271707284</v>
      </c>
      <c r="AA133" t="s">
        <v>71</v>
      </c>
      <c r="AB133" t="s">
        <v>75</v>
      </c>
      <c r="AC133" t="s">
        <v>226</v>
      </c>
    </row>
    <row r="134" spans="5:29" hidden="1" x14ac:dyDescent="0.25">
      <c r="E134" s="1" t="s">
        <v>1017</v>
      </c>
      <c r="F134" s="1" t="s">
        <v>1018</v>
      </c>
      <c r="G134" s="41" t="e">
        <v>#N/A</v>
      </c>
      <c r="H134" s="41">
        <v>0.12834622730068301</v>
      </c>
      <c r="I134" s="41">
        <v>8.3652292181286961E-2</v>
      </c>
      <c r="J134" s="41">
        <v>0.12834622730068301</v>
      </c>
      <c r="K134" s="42">
        <v>5.0546152922818388</v>
      </c>
      <c r="L134" s="28">
        <v>11.389418521748649</v>
      </c>
      <c r="M134" s="28">
        <v>15.773281756472539</v>
      </c>
      <c r="N134" s="41">
        <v>4.5558987780939503E-2</v>
      </c>
      <c r="O134" s="29">
        <v>0.32665975669630698</v>
      </c>
      <c r="P134" s="41">
        <v>0.65957819133557527</v>
      </c>
      <c r="Q134" s="43">
        <v>4.2414022177934491E-3</v>
      </c>
      <c r="R134" s="29">
        <v>1.7623406371339225</v>
      </c>
      <c r="S134" s="44">
        <v>92679000</v>
      </c>
      <c r="T134" s="44">
        <v>92679000</v>
      </c>
      <c r="U134" s="44">
        <v>344120032</v>
      </c>
      <c r="V134" s="29">
        <v>5.4658918771480005</v>
      </c>
      <c r="W134" s="29">
        <v>9.0249742388758776</v>
      </c>
      <c r="X134" s="29">
        <v>-4.6691571187782461</v>
      </c>
      <c r="Y134" s="29">
        <v>18.85777740009333</v>
      </c>
      <c r="Z134" s="29">
        <v>1.0882718599698709</v>
      </c>
      <c r="AA134" t="s">
        <v>77</v>
      </c>
      <c r="AB134" t="s">
        <v>83</v>
      </c>
      <c r="AC134" t="s">
        <v>1019</v>
      </c>
    </row>
    <row r="135" spans="5:29" hidden="1" x14ac:dyDescent="0.25">
      <c r="E135" s="1" t="s">
        <v>409</v>
      </c>
      <c r="F135" s="1" t="s">
        <v>410</v>
      </c>
      <c r="G135" s="41">
        <v>0.14645223291085183</v>
      </c>
      <c r="H135" s="41">
        <v>0.12361595042556066</v>
      </c>
      <c r="I135" s="41">
        <v>0.13777316113251911</v>
      </c>
      <c r="J135" s="41">
        <v>0.11678021721308919</v>
      </c>
      <c r="K135" s="42">
        <v>11.568010728349428</v>
      </c>
      <c r="L135" s="28">
        <v>19.230459918981687</v>
      </c>
      <c r="M135" s="28">
        <v>20.929260590922645</v>
      </c>
      <c r="N135" s="41">
        <v>0.35988333586191379</v>
      </c>
      <c r="O135" s="29">
        <v>2.7197254979425933</v>
      </c>
      <c r="P135" s="41">
        <v>0.29679158755213114</v>
      </c>
      <c r="Q135" s="43" t="e">
        <v>#N/A</v>
      </c>
      <c r="R135" s="29">
        <v>24.78438285151352</v>
      </c>
      <c r="S135" s="44">
        <v>3938804000</v>
      </c>
      <c r="T135" s="44">
        <v>4169362000</v>
      </c>
      <c r="U135" s="44">
        <v>3694237952</v>
      </c>
      <c r="V135" s="29">
        <v>7.2993330302355695</v>
      </c>
      <c r="W135" s="29">
        <v>17.87239633027523</v>
      </c>
      <c r="X135" s="29">
        <v>7.5536552768325844</v>
      </c>
      <c r="Y135" s="29">
        <v>21.124988060803879</v>
      </c>
      <c r="Z135" s="29">
        <v>2.4500135731214785</v>
      </c>
      <c r="AA135" t="s">
        <v>76</v>
      </c>
      <c r="AB135" t="s">
        <v>196</v>
      </c>
      <c r="AC135" t="s">
        <v>197</v>
      </c>
    </row>
    <row r="136" spans="5:29" hidden="1" x14ac:dyDescent="0.25">
      <c r="E136" s="1" t="s">
        <v>429</v>
      </c>
      <c r="F136" s="1" t="s">
        <v>430</v>
      </c>
      <c r="G136" s="41">
        <v>0.11965401595106422</v>
      </c>
      <c r="H136" s="41">
        <v>0.12304846885591579</v>
      </c>
      <c r="I136" s="41">
        <v>0.11965401595106422</v>
      </c>
      <c r="J136" s="41">
        <v>0.12304846885591579</v>
      </c>
      <c r="K136" s="42">
        <v>5.8463081534352659</v>
      </c>
      <c r="L136" s="28">
        <v>15.763231539395051</v>
      </c>
      <c r="M136" s="28">
        <v>15.893670459018237</v>
      </c>
      <c r="N136" s="41">
        <v>0.28163017584695682</v>
      </c>
      <c r="O136" s="29">
        <v>2.360797240906233</v>
      </c>
      <c r="P136" s="41">
        <v>0.44858931461511886</v>
      </c>
      <c r="Q136" s="43" t="e">
        <v>#N/A</v>
      </c>
      <c r="R136" s="29">
        <v>-0.39416999418316329</v>
      </c>
      <c r="S136" s="44">
        <v>335762000</v>
      </c>
      <c r="T136" s="44">
        <v>335762000</v>
      </c>
      <c r="U136" s="44">
        <v>394814624</v>
      </c>
      <c r="V136" s="29">
        <v>4.3520460357081614</v>
      </c>
      <c r="W136" s="29">
        <v>8.8581960905988204</v>
      </c>
      <c r="X136" s="29">
        <v>18.887935499687561</v>
      </c>
      <c r="Y136" s="29">
        <v>7.7619273788464733</v>
      </c>
      <c r="Z136" s="29">
        <v>0.52857045253845891</v>
      </c>
      <c r="AA136" t="s">
        <v>76</v>
      </c>
      <c r="AB136" t="s">
        <v>196</v>
      </c>
      <c r="AC136" t="s">
        <v>197</v>
      </c>
    </row>
    <row r="137" spans="5:29" hidden="1" x14ac:dyDescent="0.25">
      <c r="E137" s="1" t="s">
        <v>419</v>
      </c>
      <c r="F137" s="1" t="s">
        <v>420</v>
      </c>
      <c r="G137" s="41" t="e">
        <v>#N/A</v>
      </c>
      <c r="H137" s="41">
        <v>0.1227168337790193</v>
      </c>
      <c r="I137" s="41">
        <v>9.3074790119449344E-2</v>
      </c>
      <c r="J137" s="41">
        <v>8.8613309364776308E-2</v>
      </c>
      <c r="K137" s="42">
        <v>-5.0324547154254624</v>
      </c>
      <c r="L137" s="28">
        <v>8.7140960373186367</v>
      </c>
      <c r="M137" s="28">
        <v>10.333852316319195</v>
      </c>
      <c r="N137" s="41">
        <v>0.43755285650371323</v>
      </c>
      <c r="O137" s="29">
        <v>6.9772127759182174</v>
      </c>
      <c r="P137" s="41">
        <v>0.22109155319548748</v>
      </c>
      <c r="Q137" s="43" t="e">
        <v>#N/A</v>
      </c>
      <c r="R137" s="29">
        <v>16.288139830102491</v>
      </c>
      <c r="S137" s="44">
        <v>9429285000</v>
      </c>
      <c r="T137" s="44">
        <v>13058219000</v>
      </c>
      <c r="U137" s="44">
        <v>3184247040</v>
      </c>
      <c r="V137" s="29">
        <v>11.647489032831039</v>
      </c>
      <c r="W137" s="29">
        <v>44.320900378153993</v>
      </c>
      <c r="X137" s="29">
        <v>-33.992816964352116</v>
      </c>
      <c r="Y137" s="29" t="e">
        <v>#N/A</v>
      </c>
      <c r="Z137" s="29">
        <v>1.2785492807871708</v>
      </c>
      <c r="AA137" t="s">
        <v>145</v>
      </c>
      <c r="AB137" t="s">
        <v>146</v>
      </c>
      <c r="AC137" t="s">
        <v>147</v>
      </c>
    </row>
    <row r="138" spans="5:29" hidden="1" x14ac:dyDescent="0.25">
      <c r="E138" s="1" t="s">
        <v>661</v>
      </c>
      <c r="F138" s="1" t="s">
        <v>662</v>
      </c>
      <c r="G138" s="41">
        <v>6.5281814998410362E-2</v>
      </c>
      <c r="H138" s="41">
        <v>0.12121296596821629</v>
      </c>
      <c r="I138" s="41">
        <v>6.5048567424505904E-2</v>
      </c>
      <c r="J138" s="41">
        <v>0.12078677881419662</v>
      </c>
      <c r="K138" s="42">
        <v>16.150598446946965</v>
      </c>
      <c r="L138" s="28">
        <v>5.2278765016142756</v>
      </c>
      <c r="M138" s="28">
        <v>6.4046146428589177</v>
      </c>
      <c r="N138" s="41">
        <v>0.32366380205032041</v>
      </c>
      <c r="O138" s="29">
        <v>5.1276966707496046</v>
      </c>
      <c r="P138" s="41">
        <v>0.14028940137048246</v>
      </c>
      <c r="Q138" s="43" t="e">
        <v>#N/A</v>
      </c>
      <c r="R138" s="29">
        <v>15.851332645120404</v>
      </c>
      <c r="S138" s="44">
        <v>502207000</v>
      </c>
      <c r="T138" s="44">
        <v>503979000</v>
      </c>
      <c r="U138" s="44">
        <v>388276160</v>
      </c>
      <c r="V138" s="29">
        <v>9.4123123779256463</v>
      </c>
      <c r="W138" s="29">
        <v>11.788122227289689</v>
      </c>
      <c r="X138" s="29">
        <v>7.0789821347774788</v>
      </c>
      <c r="Y138" s="29">
        <v>12.624679519051591</v>
      </c>
      <c r="Z138" s="29">
        <v>1.8860099276501419</v>
      </c>
      <c r="AA138" t="s">
        <v>77</v>
      </c>
      <c r="AB138" t="s">
        <v>90</v>
      </c>
      <c r="AC138" t="s">
        <v>125</v>
      </c>
    </row>
    <row r="139" spans="5:29" hidden="1" x14ac:dyDescent="0.25">
      <c r="E139" s="1" t="s">
        <v>377</v>
      </c>
      <c r="F139" s="1" t="s">
        <v>378</v>
      </c>
      <c r="G139" s="41">
        <v>0.11474839372834222</v>
      </c>
      <c r="H139" s="41">
        <v>0.12015106577257421</v>
      </c>
      <c r="I139" s="41">
        <v>0.10833813143580659</v>
      </c>
      <c r="J139" s="41">
        <v>0.11508016916248881</v>
      </c>
      <c r="K139" s="42">
        <v>12.092558980127777</v>
      </c>
      <c r="L139" s="28">
        <v>16.264098110702779</v>
      </c>
      <c r="M139" s="28">
        <v>16.652682658484025</v>
      </c>
      <c r="N139" s="41">
        <v>0.24052958297257834</v>
      </c>
      <c r="O139" s="29">
        <v>2.0391184231909176</v>
      </c>
      <c r="P139" s="41">
        <v>0.51875685800738169</v>
      </c>
      <c r="Q139" s="43" t="e">
        <v>#N/A</v>
      </c>
      <c r="R139" s="29">
        <v>5.9499525772730149</v>
      </c>
      <c r="S139" s="44">
        <v>1465322000</v>
      </c>
      <c r="T139" s="44">
        <v>1529890000</v>
      </c>
      <c r="U139" s="44">
        <v>1673756544</v>
      </c>
      <c r="V139" s="29">
        <v>8.8061086029576785</v>
      </c>
      <c r="W139" s="29">
        <v>13.751267599166189</v>
      </c>
      <c r="X139" s="29">
        <v>4.5959491704905924</v>
      </c>
      <c r="Y139" s="29">
        <v>13.417555003330182</v>
      </c>
      <c r="Z139" s="29">
        <v>1.5225105648659756</v>
      </c>
      <c r="AA139" t="s">
        <v>77</v>
      </c>
      <c r="AB139" t="s">
        <v>83</v>
      </c>
      <c r="AC139" t="s">
        <v>194</v>
      </c>
    </row>
    <row r="140" spans="5:29" hidden="1" x14ac:dyDescent="0.25">
      <c r="E140" s="1" t="s">
        <v>260</v>
      </c>
      <c r="F140" s="1" t="s">
        <v>261</v>
      </c>
      <c r="G140" s="41">
        <v>9.0444538748043882E-2</v>
      </c>
      <c r="H140" s="41">
        <v>0.11974972677779103</v>
      </c>
      <c r="I140" s="41">
        <v>8.8729786095815055E-2</v>
      </c>
      <c r="J140" s="41">
        <v>0.11729307977538252</v>
      </c>
      <c r="K140" s="42">
        <v>12.9707056639506</v>
      </c>
      <c r="L140" s="28">
        <v>22.816629434285105</v>
      </c>
      <c r="M140" s="28">
        <v>27.106213017909518</v>
      </c>
      <c r="N140" s="41">
        <v>0.22430139022864262</v>
      </c>
      <c r="O140" s="29">
        <v>1.7774482770580791</v>
      </c>
      <c r="P140" s="41">
        <v>0.51324388861063674</v>
      </c>
      <c r="Q140" s="43" t="e">
        <v>#N/A</v>
      </c>
      <c r="R140" s="29">
        <v>10.013229845167196</v>
      </c>
      <c r="S140" s="44">
        <v>2978345000</v>
      </c>
      <c r="T140" s="44">
        <v>3040725000</v>
      </c>
      <c r="U140" s="44">
        <v>4277509888</v>
      </c>
      <c r="V140" s="29">
        <v>10.064075149286948</v>
      </c>
      <c r="W140" s="29">
        <v>14.54488537135537</v>
      </c>
      <c r="X140" s="29" t="e">
        <v>#N/A</v>
      </c>
      <c r="Y140" s="29">
        <v>15.214328467001577</v>
      </c>
      <c r="Z140" s="29">
        <v>2.0277993178440852</v>
      </c>
      <c r="AA140" t="s">
        <v>76</v>
      </c>
      <c r="AB140" t="s">
        <v>153</v>
      </c>
      <c r="AC140" t="s">
        <v>189</v>
      </c>
    </row>
    <row r="141" spans="5:29" hidden="1" x14ac:dyDescent="0.25">
      <c r="E141" s="1" t="s">
        <v>962</v>
      </c>
      <c r="F141" s="1" t="s">
        <v>963</v>
      </c>
      <c r="G141" s="41">
        <v>0.14175181844648299</v>
      </c>
      <c r="H141" s="41">
        <v>0.11909815677950648</v>
      </c>
      <c r="I141" s="41">
        <v>0.13527509713373756</v>
      </c>
      <c r="J141" s="41">
        <v>0.1138366690404219</v>
      </c>
      <c r="K141" s="42">
        <v>8.7084628590748991</v>
      </c>
      <c r="L141" s="28">
        <v>5.8519695880713991</v>
      </c>
      <c r="M141" s="28">
        <v>5.908054005964912</v>
      </c>
      <c r="N141" s="41">
        <v>0.27869778296147374</v>
      </c>
      <c r="O141" s="29">
        <v>3.0045881783735888</v>
      </c>
      <c r="P141" s="41">
        <v>0.40217568755958699</v>
      </c>
      <c r="Q141" s="43" t="e">
        <v>#N/A</v>
      </c>
      <c r="R141" s="29">
        <v>2.6658106141589082</v>
      </c>
      <c r="S141" s="44">
        <v>959679000</v>
      </c>
      <c r="T141" s="44">
        <v>1004035000</v>
      </c>
      <c r="U141" s="44">
        <v>904327296</v>
      </c>
      <c r="V141" s="29">
        <v>7.996103831998739</v>
      </c>
      <c r="W141" s="29">
        <v>12.431783226417167</v>
      </c>
      <c r="X141" s="29">
        <v>7.9417043273677761</v>
      </c>
      <c r="Y141" s="29">
        <v>13.959875760888893</v>
      </c>
      <c r="Z141" s="29">
        <v>1.1339444399115208</v>
      </c>
      <c r="AA141" t="s">
        <v>76</v>
      </c>
      <c r="AB141" t="s">
        <v>95</v>
      </c>
      <c r="AC141" t="s">
        <v>95</v>
      </c>
    </row>
    <row r="142" spans="5:29" hidden="1" x14ac:dyDescent="0.25">
      <c r="E142" s="1" t="s">
        <v>519</v>
      </c>
      <c r="F142" s="1" t="s">
        <v>520</v>
      </c>
      <c r="G142" s="41">
        <v>0.12541452518740387</v>
      </c>
      <c r="H142" s="41">
        <v>0.11861456642862106</v>
      </c>
      <c r="I142" s="41">
        <v>0.12541452518740387</v>
      </c>
      <c r="J142" s="41">
        <v>0.11861456642862106</v>
      </c>
      <c r="K142" s="42">
        <v>22.050147833140173</v>
      </c>
      <c r="L142" s="28">
        <v>84.394574894439074</v>
      </c>
      <c r="M142" s="28">
        <v>81.592996413361462</v>
      </c>
      <c r="N142" s="41">
        <v>0.70687576594664492</v>
      </c>
      <c r="O142" s="29">
        <v>6.1007856608619102</v>
      </c>
      <c r="P142" s="41">
        <v>0.27042997311230099</v>
      </c>
      <c r="Q142" s="43" t="e">
        <v>#N/A</v>
      </c>
      <c r="R142" s="29">
        <v>29.401620909198101</v>
      </c>
      <c r="S142" s="44">
        <v>1223155000</v>
      </c>
      <c r="T142" s="44">
        <v>1223155000</v>
      </c>
      <c r="U142" s="44">
        <v>376319616</v>
      </c>
      <c r="V142" s="29">
        <v>8.656259248227796</v>
      </c>
      <c r="W142" s="29">
        <v>8.8636485482690386</v>
      </c>
      <c r="X142" s="29" t="e">
        <v>#N/A</v>
      </c>
      <c r="Y142" s="29">
        <v>5.421431498265024</v>
      </c>
      <c r="Z142" s="29">
        <v>1.08171578196094</v>
      </c>
      <c r="AA142" t="s">
        <v>145</v>
      </c>
      <c r="AB142" t="s">
        <v>146</v>
      </c>
      <c r="AC142" t="s">
        <v>147</v>
      </c>
    </row>
    <row r="143" spans="5:29" hidden="1" x14ac:dyDescent="0.25">
      <c r="E143" s="1" t="s">
        <v>615</v>
      </c>
      <c r="F143" s="1" t="s">
        <v>616</v>
      </c>
      <c r="G143" s="41">
        <v>7.9511489737139313E-2</v>
      </c>
      <c r="H143" s="41">
        <v>0.11826585688256318</v>
      </c>
      <c r="I143" s="41">
        <v>7.9511489737139313E-2</v>
      </c>
      <c r="J143" s="41">
        <v>0.11826585688256318</v>
      </c>
      <c r="K143" s="42">
        <v>16.410377531793394</v>
      </c>
      <c r="L143" s="28">
        <v>19.711178343345104</v>
      </c>
      <c r="M143" s="28">
        <v>27.932073281048773</v>
      </c>
      <c r="N143" s="41">
        <v>0.5399819262347757</v>
      </c>
      <c r="O143" s="29">
        <v>4.2215341325108291</v>
      </c>
      <c r="P143" s="41">
        <v>0.2567182755853733</v>
      </c>
      <c r="Q143" s="43" t="e">
        <v>#N/A</v>
      </c>
      <c r="R143" s="29">
        <v>2.8484200514325395</v>
      </c>
      <c r="S143" s="44">
        <v>4598098000</v>
      </c>
      <c r="T143" s="44">
        <v>4598098000</v>
      </c>
      <c r="U143" s="44">
        <v>1423176576</v>
      </c>
      <c r="V143" s="29">
        <v>5.708034121543637</v>
      </c>
      <c r="W143" s="29">
        <v>10.645955276245838</v>
      </c>
      <c r="X143" s="29">
        <v>-132.47653395891754</v>
      </c>
      <c r="Y143" s="29">
        <v>4.3122681849194366</v>
      </c>
      <c r="Z143" s="29">
        <v>0.75283485287061291</v>
      </c>
      <c r="AA143" t="s">
        <v>76</v>
      </c>
      <c r="AB143" t="s">
        <v>95</v>
      </c>
      <c r="AC143" t="s">
        <v>95</v>
      </c>
    </row>
    <row r="144" spans="5:29" hidden="1" x14ac:dyDescent="0.25">
      <c r="E144" s="1" t="s">
        <v>511</v>
      </c>
      <c r="F144" s="1" t="s">
        <v>512</v>
      </c>
      <c r="G144" s="41">
        <v>9.9780110745304532E-2</v>
      </c>
      <c r="H144" s="41">
        <v>0.11775685550023399</v>
      </c>
      <c r="I144" s="41">
        <v>9.8187714015620806E-2</v>
      </c>
      <c r="J144" s="41">
        <v>0.11622045347249471</v>
      </c>
      <c r="K144" s="42" t="e">
        <v>#N/A</v>
      </c>
      <c r="L144" s="28">
        <v>26.639817986724687</v>
      </c>
      <c r="M144" s="28">
        <v>34.885293895553232</v>
      </c>
      <c r="N144" s="41" t="e">
        <v>#N/A</v>
      </c>
      <c r="O144" s="29" t="e">
        <v>#N/A</v>
      </c>
      <c r="P144" s="41">
        <v>0.12343863199796704</v>
      </c>
      <c r="Q144" s="43" t="e">
        <v>#N/A</v>
      </c>
      <c r="R144" s="29" t="e">
        <v>#N/A</v>
      </c>
      <c r="S144" s="44">
        <v>9160783000</v>
      </c>
      <c r="T144" s="44">
        <v>9281886000</v>
      </c>
      <c r="U144" s="44">
        <v>326736224</v>
      </c>
      <c r="V144" s="29" t="e">
        <v>#N/A</v>
      </c>
      <c r="W144" s="29" t="e">
        <v>#N/A</v>
      </c>
      <c r="X144" s="29" t="e">
        <v>#N/A</v>
      </c>
      <c r="Y144" s="29" t="e">
        <v>#N/A</v>
      </c>
      <c r="Z144" s="29">
        <v>0.6162529698661724</v>
      </c>
      <c r="AA144" t="s">
        <v>145</v>
      </c>
      <c r="AB144" t="s">
        <v>146</v>
      </c>
      <c r="AC144" t="s">
        <v>147</v>
      </c>
    </row>
    <row r="145" spans="5:29" hidden="1" x14ac:dyDescent="0.25">
      <c r="E145" s="1" t="s">
        <v>326</v>
      </c>
      <c r="F145" s="1" t="s">
        <v>327</v>
      </c>
      <c r="G145" s="41">
        <v>0.10899254794936372</v>
      </c>
      <c r="H145" s="41">
        <v>0.11762333011719704</v>
      </c>
      <c r="I145" s="41">
        <v>9.9599869391249596E-2</v>
      </c>
      <c r="J145" s="41">
        <v>0.10831069711883581</v>
      </c>
      <c r="K145" s="42">
        <v>4.0354920490924231</v>
      </c>
      <c r="L145" s="28" t="e">
        <v>#N/A</v>
      </c>
      <c r="M145" s="28" t="e">
        <v>#N/A</v>
      </c>
      <c r="N145" s="41">
        <v>7.597759097187709E-2</v>
      </c>
      <c r="O145" s="29" t="e">
        <v>#N/A</v>
      </c>
      <c r="P145" s="41">
        <v>6.7501768153998387E-2</v>
      </c>
      <c r="Q145" s="43">
        <v>2.4974783423290611E-2</v>
      </c>
      <c r="R145" s="29">
        <v>22.116287399286652</v>
      </c>
      <c r="S145" s="44">
        <v>18599958000</v>
      </c>
      <c r="T145" s="44">
        <v>20199196000</v>
      </c>
      <c r="U145" s="44">
        <v>9882796032</v>
      </c>
      <c r="V145" s="29" t="e">
        <v>#N/A</v>
      </c>
      <c r="W145" s="29">
        <v>26.543547026506022</v>
      </c>
      <c r="X145" s="29">
        <v>33.843367698474424</v>
      </c>
      <c r="Y145" s="29">
        <v>33.456510374247273</v>
      </c>
      <c r="Z145" s="29">
        <v>0.98492743547963746</v>
      </c>
      <c r="AA145" t="s">
        <v>66</v>
      </c>
      <c r="AB145" t="s">
        <v>72</v>
      </c>
      <c r="AC145" t="s">
        <v>173</v>
      </c>
    </row>
    <row r="146" spans="5:29" hidden="1" x14ac:dyDescent="0.25">
      <c r="E146" s="1" t="s">
        <v>655</v>
      </c>
      <c r="F146" s="1" t="s">
        <v>656</v>
      </c>
      <c r="G146" s="41">
        <v>0.33233718897955089</v>
      </c>
      <c r="H146" s="41">
        <v>0.11727165498871261</v>
      </c>
      <c r="I146" s="41">
        <v>0.33089490175970304</v>
      </c>
      <c r="J146" s="41">
        <v>0.11638094762310409</v>
      </c>
      <c r="K146" s="42">
        <v>13.536240520886061</v>
      </c>
      <c r="L146" s="28" t="e">
        <v>#N/A</v>
      </c>
      <c r="M146" s="28" t="e">
        <v>#N/A</v>
      </c>
      <c r="N146" s="41">
        <v>5.9455886639056897E-2</v>
      </c>
      <c r="O146" s="29" t="e">
        <v>#N/A</v>
      </c>
      <c r="P146" s="41">
        <v>0.13695020596011287</v>
      </c>
      <c r="Q146" s="43" t="e">
        <v>#N/A</v>
      </c>
      <c r="R146" s="29">
        <v>0.41328032906789147</v>
      </c>
      <c r="S146" s="44">
        <v>1152171000</v>
      </c>
      <c r="T146" s="44">
        <v>1160989000</v>
      </c>
      <c r="U146" s="44">
        <v>1229317504</v>
      </c>
      <c r="V146" s="29" t="e">
        <v>#N/A</v>
      </c>
      <c r="W146" s="29">
        <v>9.12542740600413</v>
      </c>
      <c r="X146" s="29">
        <v>11.804598854878096</v>
      </c>
      <c r="Y146" s="29">
        <v>10.969113368126045</v>
      </c>
      <c r="Z146" s="29">
        <v>1.4328864140086051</v>
      </c>
      <c r="AA146" t="s">
        <v>66</v>
      </c>
      <c r="AB146" t="s">
        <v>72</v>
      </c>
      <c r="AC146" t="s">
        <v>103</v>
      </c>
    </row>
    <row r="147" spans="5:29" hidden="1" x14ac:dyDescent="0.25">
      <c r="E147" s="1" t="s">
        <v>276</v>
      </c>
      <c r="F147" s="1" t="s">
        <v>277</v>
      </c>
      <c r="G147" s="41">
        <v>0.13329776262594811</v>
      </c>
      <c r="H147" s="41">
        <v>0.11705447011102969</v>
      </c>
      <c r="I147" s="41">
        <v>0.11778467379738178</v>
      </c>
      <c r="J147" s="41">
        <v>9.9023364513699003E-2</v>
      </c>
      <c r="K147" s="42">
        <v>6.3699452867041035</v>
      </c>
      <c r="L147" s="28">
        <v>9.8926038188413017</v>
      </c>
      <c r="M147" s="28">
        <v>9.456402635452573</v>
      </c>
      <c r="N147" s="41">
        <v>0.31031955897329261</v>
      </c>
      <c r="O147" s="29">
        <v>2.4655791872766901</v>
      </c>
      <c r="P147" s="41">
        <v>0.51455855832021558</v>
      </c>
      <c r="Q147" s="43" t="e">
        <v>#N/A</v>
      </c>
      <c r="R147" s="29">
        <v>5.7621597025650333</v>
      </c>
      <c r="S147" s="44">
        <v>570478000</v>
      </c>
      <c r="T147" s="44">
        <v>674356000</v>
      </c>
      <c r="U147" s="44">
        <v>374469216</v>
      </c>
      <c r="V147" s="29">
        <v>6.1924939637927086</v>
      </c>
      <c r="W147" s="29">
        <v>9.965136871776803</v>
      </c>
      <c r="X147" s="29">
        <v>18.865903252244909</v>
      </c>
      <c r="Y147" s="29">
        <v>13.364302425705473</v>
      </c>
      <c r="Z147" s="29">
        <v>0.80784802341100592</v>
      </c>
      <c r="AA147" t="s">
        <v>77</v>
      </c>
      <c r="AB147" t="s">
        <v>83</v>
      </c>
      <c r="AC147" t="s">
        <v>194</v>
      </c>
    </row>
    <row r="148" spans="5:29" hidden="1" x14ac:dyDescent="0.25">
      <c r="E148" s="1" t="s">
        <v>609</v>
      </c>
      <c r="F148" s="1" t="s">
        <v>610</v>
      </c>
      <c r="G148" s="41">
        <v>0.16391494748590921</v>
      </c>
      <c r="H148" s="41">
        <v>0.11605191101894007</v>
      </c>
      <c r="I148" s="41">
        <v>0.1638629882109916</v>
      </c>
      <c r="J148" s="41">
        <v>0.115792114644352</v>
      </c>
      <c r="K148" s="42">
        <v>6.7616510634500875</v>
      </c>
      <c r="L148" s="28">
        <v>6.2842554440609435</v>
      </c>
      <c r="M148" s="28">
        <v>5.1779072650632285</v>
      </c>
      <c r="N148" s="41">
        <v>0.15982021632589197</v>
      </c>
      <c r="O148" s="29">
        <v>1.919002945347442</v>
      </c>
      <c r="P148" s="41">
        <v>0.62555196369081567</v>
      </c>
      <c r="Q148" s="43" t="e">
        <v>#N/A</v>
      </c>
      <c r="R148" s="29">
        <v>13.355962900718604</v>
      </c>
      <c r="S148" s="44">
        <v>1543025000</v>
      </c>
      <c r="T148" s="44">
        <v>1546487000</v>
      </c>
      <c r="U148" s="44">
        <v>977194048</v>
      </c>
      <c r="V148" s="29">
        <v>7.9263302425366353</v>
      </c>
      <c r="W148" s="29">
        <v>10.709278439657078</v>
      </c>
      <c r="X148" s="29">
        <v>13.623292146781477</v>
      </c>
      <c r="Y148" s="29">
        <v>11.818124331908153</v>
      </c>
      <c r="Z148" s="29">
        <v>0.79778409585483356</v>
      </c>
      <c r="AA148" t="s">
        <v>76</v>
      </c>
      <c r="AB148" t="s">
        <v>95</v>
      </c>
      <c r="AC148" t="s">
        <v>95</v>
      </c>
    </row>
    <row r="149" spans="5:29" hidden="1" x14ac:dyDescent="0.25">
      <c r="E149" s="1" t="s">
        <v>547</v>
      </c>
      <c r="F149" s="1" t="s">
        <v>548</v>
      </c>
      <c r="G149" s="41">
        <v>9.8855066534136143E-2</v>
      </c>
      <c r="H149" s="41">
        <v>0.11424530525654121</v>
      </c>
      <c r="I149" s="41">
        <v>9.0250456946196933E-2</v>
      </c>
      <c r="J149" s="41">
        <v>0.10582241630276565</v>
      </c>
      <c r="K149" s="42">
        <v>4.4096728307254622</v>
      </c>
      <c r="L149" s="28" t="e">
        <v>#N/A</v>
      </c>
      <c r="M149" s="28" t="e">
        <v>#N/A</v>
      </c>
      <c r="N149" s="41">
        <v>8.4241837592646238E-2</v>
      </c>
      <c r="O149" s="29" t="e">
        <v>#N/A</v>
      </c>
      <c r="P149" s="41">
        <v>5.9622858586000312E-2</v>
      </c>
      <c r="Q149" s="43" t="e">
        <v>#N/A</v>
      </c>
      <c r="R149" s="29">
        <v>12.106647877182722</v>
      </c>
      <c r="S149" s="44">
        <v>12727000000</v>
      </c>
      <c r="T149" s="44">
        <v>13740000000</v>
      </c>
      <c r="U149" s="44">
        <v>6176755712</v>
      </c>
      <c r="V149" s="29" t="e">
        <v>#N/A</v>
      </c>
      <c r="W149" s="29">
        <v>17.608880419010671</v>
      </c>
      <c r="X149" s="29">
        <v>90.371066305171695</v>
      </c>
      <c r="Y149" s="29">
        <v>24.365626460905148</v>
      </c>
      <c r="Z149" s="29">
        <v>0.73421506809568915</v>
      </c>
      <c r="AA149" t="s">
        <v>66</v>
      </c>
      <c r="AB149" t="s">
        <v>72</v>
      </c>
      <c r="AC149" t="s">
        <v>109</v>
      </c>
    </row>
    <row r="150" spans="5:29" hidden="1" x14ac:dyDescent="0.25">
      <c r="E150" s="1" t="s">
        <v>676</v>
      </c>
      <c r="F150" s="1" t="s">
        <v>677</v>
      </c>
      <c r="G150" s="41">
        <v>0.11521176646273215</v>
      </c>
      <c r="H150" s="41">
        <v>0.11367352820223882</v>
      </c>
      <c r="I150" s="41">
        <v>0.10105412116821</v>
      </c>
      <c r="J150" s="41">
        <v>0.10274458728753412</v>
      </c>
      <c r="K150" s="42">
        <v>23.527766647753097</v>
      </c>
      <c r="L150" s="28">
        <v>8.3192531150818105</v>
      </c>
      <c r="M150" s="28">
        <v>10.563928941113115</v>
      </c>
      <c r="N150" s="41">
        <v>0.36555793960842642</v>
      </c>
      <c r="O150" s="29">
        <v>2.538385437277404</v>
      </c>
      <c r="P150" s="41">
        <v>0.39020927504720487</v>
      </c>
      <c r="Q150" s="43" t="e">
        <v>#N/A</v>
      </c>
      <c r="R150" s="29">
        <v>7.0039054243539001</v>
      </c>
      <c r="S150" s="44">
        <v>617646000</v>
      </c>
      <c r="T150" s="44">
        <v>683345000</v>
      </c>
      <c r="U150" s="44">
        <v>306897344</v>
      </c>
      <c r="V150" s="29">
        <v>4.7350570109484238</v>
      </c>
      <c r="W150" s="29">
        <v>5.8294305108967492</v>
      </c>
      <c r="X150" s="29">
        <v>-23.035389970660678</v>
      </c>
      <c r="Y150" s="29">
        <v>4.5835106889220922</v>
      </c>
      <c r="Z150" s="29">
        <v>0.75802919707139671</v>
      </c>
      <c r="AA150" t="s">
        <v>77</v>
      </c>
      <c r="AB150" t="s">
        <v>90</v>
      </c>
      <c r="AC150" t="s">
        <v>105</v>
      </c>
    </row>
    <row r="151" spans="5:29" hidden="1" x14ac:dyDescent="0.25">
      <c r="E151" s="1" t="s">
        <v>559</v>
      </c>
      <c r="F151" s="1" t="s">
        <v>560</v>
      </c>
      <c r="G151" s="41">
        <v>4.3578125450250263E-2</v>
      </c>
      <c r="H151" s="41">
        <v>0.11313755795981453</v>
      </c>
      <c r="I151" s="41">
        <v>3.0282128115523482E-2</v>
      </c>
      <c r="J151" s="41">
        <v>7.6281784076698625E-2</v>
      </c>
      <c r="K151" s="42">
        <v>6.6282420749279538</v>
      </c>
      <c r="L151" s="28">
        <v>24.647477566633484</v>
      </c>
      <c r="M151" s="28">
        <v>27.813953488372093</v>
      </c>
      <c r="N151" s="41">
        <v>0.4951968355622528</v>
      </c>
      <c r="O151" s="29">
        <v>2.227966101694915</v>
      </c>
      <c r="P151" s="41">
        <v>0.3149010477299185</v>
      </c>
      <c r="Q151" s="43" t="e">
        <v>#N/A</v>
      </c>
      <c r="R151" s="29">
        <v>2.6948526922400484</v>
      </c>
      <c r="S151" s="44">
        <v>3235000000</v>
      </c>
      <c r="T151" s="44">
        <v>4798000000</v>
      </c>
      <c r="U151" s="44">
        <v>1970815232</v>
      </c>
      <c r="V151" s="29">
        <v>3.8981485016949153</v>
      </c>
      <c r="W151" s="29">
        <v>13.854865156626506</v>
      </c>
      <c r="X151" s="29">
        <v>33.945343487176785</v>
      </c>
      <c r="Y151" s="29">
        <v>14.332475367173041</v>
      </c>
      <c r="Z151" s="29">
        <v>0.92063692791127549</v>
      </c>
      <c r="AA151" t="s">
        <v>71</v>
      </c>
      <c r="AB151" t="s">
        <v>75</v>
      </c>
      <c r="AC151" t="s">
        <v>150</v>
      </c>
    </row>
    <row r="152" spans="5:29" hidden="1" x14ac:dyDescent="0.25">
      <c r="E152" s="1" t="s">
        <v>651</v>
      </c>
      <c r="F152" s="1" t="s">
        <v>652</v>
      </c>
      <c r="G152" s="41">
        <v>8.648980172192805E-2</v>
      </c>
      <c r="H152" s="41">
        <v>0.11183023449386428</v>
      </c>
      <c r="I152" s="41">
        <v>8.648980172192805E-2</v>
      </c>
      <c r="J152" s="41">
        <v>0.11183023449386428</v>
      </c>
      <c r="K152" s="42">
        <v>23.891092159779383</v>
      </c>
      <c r="L152" s="28">
        <v>20.065159681660127</v>
      </c>
      <c r="M152" s="28">
        <v>24.201706218768408</v>
      </c>
      <c r="N152" s="41">
        <v>0.72609764210908867</v>
      </c>
      <c r="O152" s="29">
        <v>10.693894252568482</v>
      </c>
      <c r="P152" s="41">
        <v>0.18266089277119199</v>
      </c>
      <c r="Q152" s="43" t="e">
        <v>#N/A</v>
      </c>
      <c r="R152" s="29">
        <v>30.158760333966804</v>
      </c>
      <c r="S152" s="44">
        <v>1102886000</v>
      </c>
      <c r="T152" s="44">
        <v>1102886000</v>
      </c>
      <c r="U152" s="44">
        <v>232885744</v>
      </c>
      <c r="V152" s="29">
        <v>13.269408712385124</v>
      </c>
      <c r="W152" s="29">
        <v>13.956401433024705</v>
      </c>
      <c r="X152" s="29">
        <v>-149.18603175641357</v>
      </c>
      <c r="Y152" s="29">
        <v>4.703605530392017</v>
      </c>
      <c r="Z152" s="29">
        <v>0.98928740914095115</v>
      </c>
      <c r="AA152" t="s">
        <v>66</v>
      </c>
      <c r="AB152" t="s">
        <v>78</v>
      </c>
      <c r="AC152" t="s">
        <v>121</v>
      </c>
    </row>
    <row r="153" spans="5:29" hidden="1" x14ac:dyDescent="0.25">
      <c r="E153" s="1" t="s">
        <v>593</v>
      </c>
      <c r="F153" s="1" t="s">
        <v>594</v>
      </c>
      <c r="G153" s="41">
        <v>0.18591588978856505</v>
      </c>
      <c r="H153" s="41">
        <v>0.11098757522713171</v>
      </c>
      <c r="I153" s="41">
        <v>0.14075232656566289</v>
      </c>
      <c r="J153" s="41">
        <v>8.882535140302826E-2</v>
      </c>
      <c r="K153" s="42">
        <v>9.6401388817623612</v>
      </c>
      <c r="L153" s="28">
        <v>9.3214044314531215</v>
      </c>
      <c r="M153" s="28">
        <v>8.7442115376508003</v>
      </c>
      <c r="N153" s="41">
        <v>0.41734805231374633</v>
      </c>
      <c r="O153" s="29">
        <v>3.3367305887085963</v>
      </c>
      <c r="P153" s="41">
        <v>0.26251526141264692</v>
      </c>
      <c r="Q153" s="43" t="e">
        <v>#N/A</v>
      </c>
      <c r="R153" s="29">
        <v>7.4736745451209838</v>
      </c>
      <c r="S153" s="44">
        <v>991165000</v>
      </c>
      <c r="T153" s="44">
        <v>1238464000</v>
      </c>
      <c r="U153" s="44">
        <v>1292475392</v>
      </c>
      <c r="V153" s="29">
        <v>8.5742271528480458</v>
      </c>
      <c r="W153" s="29">
        <v>17.544355684161513</v>
      </c>
      <c r="X153" s="29">
        <v>0.11064040436291842</v>
      </c>
      <c r="Y153" s="29">
        <v>23.16750421307087</v>
      </c>
      <c r="Z153" s="29">
        <v>2.2242205410330089</v>
      </c>
      <c r="AA153" t="s">
        <v>91</v>
      </c>
      <c r="AB153" t="s">
        <v>92</v>
      </c>
      <c r="AC153" t="s">
        <v>93</v>
      </c>
    </row>
    <row r="154" spans="5:29" hidden="1" x14ac:dyDescent="0.25">
      <c r="E154" s="1" t="s">
        <v>523</v>
      </c>
      <c r="F154" s="1" t="s">
        <v>524</v>
      </c>
      <c r="G154" s="41">
        <v>0.11386308108040463</v>
      </c>
      <c r="H154" s="41">
        <v>0.11009250779580564</v>
      </c>
      <c r="I154" s="41">
        <v>0.11386308108040463</v>
      </c>
      <c r="J154" s="41">
        <v>0.11009250779580564</v>
      </c>
      <c r="K154" s="42">
        <v>18.947234675514011</v>
      </c>
      <c r="L154" s="28">
        <v>11.01553419040669</v>
      </c>
      <c r="M154" s="28">
        <v>13.063199717603647</v>
      </c>
      <c r="N154" s="41">
        <v>0.26606755713540076</v>
      </c>
      <c r="O154" s="29">
        <v>6.1096624482667883</v>
      </c>
      <c r="P154" s="41">
        <v>0.32548087291078259</v>
      </c>
      <c r="Q154" s="43" t="e">
        <v>#N/A</v>
      </c>
      <c r="R154" s="29">
        <v>4.2019918162792894E-2</v>
      </c>
      <c r="S154" s="44">
        <v>959811000</v>
      </c>
      <c r="T154" s="44">
        <v>959811000</v>
      </c>
      <c r="U154" s="44">
        <v>688568640</v>
      </c>
      <c r="V154" s="29">
        <v>15.385046290758595</v>
      </c>
      <c r="W154" s="29">
        <v>17.294187944549769</v>
      </c>
      <c r="X154" s="29">
        <v>-0.879941322915897</v>
      </c>
      <c r="Y154" s="29">
        <v>8.3100854574229572</v>
      </c>
      <c r="Z154" s="29">
        <v>1.2688552153536539</v>
      </c>
      <c r="AA154" t="s">
        <v>77</v>
      </c>
      <c r="AB154" t="s">
        <v>90</v>
      </c>
      <c r="AC154" t="s">
        <v>125</v>
      </c>
    </row>
    <row r="155" spans="5:29" hidden="1" x14ac:dyDescent="0.25">
      <c r="E155" s="1" t="s">
        <v>515</v>
      </c>
      <c r="F155" s="1" t="s">
        <v>516</v>
      </c>
      <c r="G155" s="41" t="e">
        <v>#N/A</v>
      </c>
      <c r="H155" s="41">
        <v>0.10905026812707563</v>
      </c>
      <c r="I155" s="41">
        <v>0.13542970326065162</v>
      </c>
      <c r="J155" s="41">
        <v>9.9025581126158835E-2</v>
      </c>
      <c r="K155" s="42">
        <v>7.1304561672491689</v>
      </c>
      <c r="L155" s="28" t="e">
        <v>#N/A</v>
      </c>
      <c r="M155" s="28" t="e">
        <v>#N/A</v>
      </c>
      <c r="N155" s="41">
        <v>4.9176924505180061E-2</v>
      </c>
      <c r="O155" s="29" t="e">
        <v>#N/A</v>
      </c>
      <c r="P155" s="41">
        <v>9.0415201872960246E-2</v>
      </c>
      <c r="Q155" s="43" t="e">
        <v>#N/A</v>
      </c>
      <c r="R155" s="29">
        <v>12.384834970491379</v>
      </c>
      <c r="S155" s="44">
        <v>7939146000</v>
      </c>
      <c r="T155" s="44">
        <v>8742852000</v>
      </c>
      <c r="U155" s="44">
        <v>5084926976</v>
      </c>
      <c r="V155" s="29" t="e">
        <v>#N/A</v>
      </c>
      <c r="W155" s="29">
        <v>11.774455090948045</v>
      </c>
      <c r="X155" s="29">
        <v>8.1041085141435865</v>
      </c>
      <c r="Y155" s="29">
        <v>11.427238995442917</v>
      </c>
      <c r="Z155" s="29">
        <v>0.86119557882394848</v>
      </c>
      <c r="AA155" t="s">
        <v>66</v>
      </c>
      <c r="AB155" t="s">
        <v>72</v>
      </c>
      <c r="AC155" t="s">
        <v>109</v>
      </c>
    </row>
    <row r="156" spans="5:29" hidden="1" x14ac:dyDescent="0.25">
      <c r="E156" s="1" t="s">
        <v>455</v>
      </c>
      <c r="F156" s="1" t="s">
        <v>456</v>
      </c>
      <c r="G156" s="41">
        <v>0.11629575801824388</v>
      </c>
      <c r="H156" s="41">
        <v>0.10723842515365455</v>
      </c>
      <c r="I156" s="41">
        <v>0.11629575801824388</v>
      </c>
      <c r="J156" s="41">
        <v>0.10723842515365455</v>
      </c>
      <c r="K156" s="42">
        <v>7.1960271119540424</v>
      </c>
      <c r="L156" s="28">
        <v>76.325851621226391</v>
      </c>
      <c r="M156" s="28">
        <v>78.094935092934108</v>
      </c>
      <c r="N156" s="41">
        <v>0.25972279932978609</v>
      </c>
      <c r="O156" s="29">
        <v>3.4509534418941921</v>
      </c>
      <c r="P156" s="41">
        <v>0.49082626032239274</v>
      </c>
      <c r="Q156" s="43" t="e">
        <v>#N/A</v>
      </c>
      <c r="R156" s="29">
        <v>1.8954265741871743</v>
      </c>
      <c r="S156" s="44">
        <v>18170306000</v>
      </c>
      <c r="T156" s="44">
        <v>18170306000</v>
      </c>
      <c r="U156" s="44">
        <v>4214400256</v>
      </c>
      <c r="V156" s="29">
        <v>9.4256254576721048</v>
      </c>
      <c r="W156" s="29">
        <v>10.646888839884618</v>
      </c>
      <c r="X156" s="29">
        <v>16.892225625377336</v>
      </c>
      <c r="Y156" s="29">
        <v>5.3662589472178848</v>
      </c>
      <c r="Z156" s="29">
        <v>0.81944308340975358</v>
      </c>
      <c r="AA156" t="s">
        <v>69</v>
      </c>
      <c r="AB156" t="s">
        <v>159</v>
      </c>
      <c r="AC156" t="s">
        <v>186</v>
      </c>
    </row>
    <row r="157" spans="5:29" hidden="1" x14ac:dyDescent="0.25">
      <c r="E157" s="1" t="s">
        <v>710</v>
      </c>
      <c r="F157" s="1" t="s">
        <v>711</v>
      </c>
      <c r="G157" s="41">
        <v>0.13603729882571822</v>
      </c>
      <c r="H157" s="41">
        <v>0.10569564725589518</v>
      </c>
      <c r="I157" s="41">
        <v>0.13603729882571822</v>
      </c>
      <c r="J157" s="41">
        <v>0.10569564725589518</v>
      </c>
      <c r="K157" s="42" t="e">
        <v>#N/A</v>
      </c>
      <c r="L157" s="28">
        <v>79.114425220172038</v>
      </c>
      <c r="M157" s="28">
        <v>61.596316857219222</v>
      </c>
      <c r="N157" s="41">
        <v>0.56714265337496228</v>
      </c>
      <c r="O157" s="29" t="e">
        <v>#N/A</v>
      </c>
      <c r="P157" s="41">
        <v>0.29725343518709291</v>
      </c>
      <c r="Q157" s="43" t="e">
        <v>#N/A</v>
      </c>
      <c r="R157" s="29" t="e">
        <v>#N/A</v>
      </c>
      <c r="S157" s="44">
        <v>3587659305.9999995</v>
      </c>
      <c r="T157" s="44">
        <v>3587659305.9999995</v>
      </c>
      <c r="U157" s="44">
        <v>1379646080</v>
      </c>
      <c r="V157" s="29" t="e">
        <v>#N/A</v>
      </c>
      <c r="W157" s="29" t="e">
        <v>#N/A</v>
      </c>
      <c r="X157" s="29" t="e">
        <v>#N/A</v>
      </c>
      <c r="Y157" s="29" t="e">
        <v>#N/A</v>
      </c>
      <c r="Z157" s="29">
        <v>0.99694130316178442</v>
      </c>
      <c r="AA157" t="s">
        <v>69</v>
      </c>
      <c r="AB157" t="s">
        <v>159</v>
      </c>
      <c r="AC157" t="s">
        <v>186</v>
      </c>
    </row>
    <row r="158" spans="5:29" hidden="1" x14ac:dyDescent="0.25">
      <c r="E158" s="1" t="s">
        <v>483</v>
      </c>
      <c r="F158" s="1" t="s">
        <v>484</v>
      </c>
      <c r="G158" s="41">
        <v>3.7836149411331829E-2</v>
      </c>
      <c r="H158" s="41">
        <v>9.9026146820741331E-2</v>
      </c>
      <c r="I158" s="41">
        <v>0.11084068154023849</v>
      </c>
      <c r="J158" s="41">
        <v>4.6295107893480271E-2</v>
      </c>
      <c r="K158" s="42">
        <v>0.67580543387806236</v>
      </c>
      <c r="L158" s="28">
        <v>7.6991629521867626</v>
      </c>
      <c r="M158" s="28">
        <v>7.465838383945183</v>
      </c>
      <c r="N158" s="41">
        <v>0.55601788092883053</v>
      </c>
      <c r="O158" s="29">
        <v>7.6107497839524934</v>
      </c>
      <c r="P158" s="41">
        <v>0.1570808841654483</v>
      </c>
      <c r="Q158" s="43" t="e">
        <v>#N/A</v>
      </c>
      <c r="R158" s="29">
        <v>24.820944136576038</v>
      </c>
      <c r="S158" s="44">
        <v>1719253000</v>
      </c>
      <c r="T158" s="44">
        <v>3677516000</v>
      </c>
      <c r="U158" s="44">
        <v>1757120896</v>
      </c>
      <c r="V158" s="29">
        <v>13.576374831192238</v>
      </c>
      <c r="W158" s="29">
        <v>110.55720087806138</v>
      </c>
      <c r="X158" s="29">
        <v>-14.614589160289629</v>
      </c>
      <c r="Y158" s="29">
        <v>37.003439082461057</v>
      </c>
      <c r="Z158" s="29">
        <v>2.7507218263110058</v>
      </c>
      <c r="AA158" t="s">
        <v>76</v>
      </c>
      <c r="AB158" t="s">
        <v>82</v>
      </c>
      <c r="AC158" t="s">
        <v>370</v>
      </c>
    </row>
    <row r="159" spans="5:29" hidden="1" x14ac:dyDescent="0.25">
      <c r="E159" s="1" t="s">
        <v>461</v>
      </c>
      <c r="F159" s="1" t="s">
        <v>462</v>
      </c>
      <c r="G159" s="41">
        <v>5.1391271211560507E-2</v>
      </c>
      <c r="H159" s="41">
        <v>9.8871930988719312E-2</v>
      </c>
      <c r="I159" s="41">
        <v>4.6327698972149348E-2</v>
      </c>
      <c r="J159" s="41">
        <v>9.5604748155277516E-2</v>
      </c>
      <c r="K159" s="42">
        <v>-5.435066631826496</v>
      </c>
      <c r="L159" s="28">
        <v>24.668725403067903</v>
      </c>
      <c r="M159" s="28">
        <v>29.107710077967081</v>
      </c>
      <c r="N159" s="41">
        <v>0.27688057798555038</v>
      </c>
      <c r="O159" s="29">
        <v>1.8966521106259098</v>
      </c>
      <c r="P159" s="41">
        <v>0.388646288209607</v>
      </c>
      <c r="Q159" s="43" t="e">
        <v>#N/A</v>
      </c>
      <c r="R159" s="29">
        <v>1.0855208705309756</v>
      </c>
      <c r="S159" s="44">
        <v>3014000000</v>
      </c>
      <c r="T159" s="44">
        <v>3117000000</v>
      </c>
      <c r="U159" s="44">
        <v>2849508608</v>
      </c>
      <c r="V159" s="29">
        <v>6.0444084541484715</v>
      </c>
      <c r="W159" s="29" t="e">
        <v>#N/A</v>
      </c>
      <c r="X159" s="29">
        <v>12.949601168567517</v>
      </c>
      <c r="Y159" s="29">
        <v>14.44487603737927</v>
      </c>
      <c r="Z159" s="29">
        <v>1.5416229955056182</v>
      </c>
      <c r="AA159" t="s">
        <v>71</v>
      </c>
      <c r="AB159" t="s">
        <v>75</v>
      </c>
      <c r="AC159" t="s">
        <v>150</v>
      </c>
    </row>
    <row r="160" spans="5:29" hidden="1" x14ac:dyDescent="0.25">
      <c r="E160" s="1" t="s">
        <v>858</v>
      </c>
      <c r="F160" s="1" t="s">
        <v>859</v>
      </c>
      <c r="G160" s="41" t="e">
        <v>#N/A</v>
      </c>
      <c r="H160" s="41">
        <v>9.6788406375568944E-2</v>
      </c>
      <c r="I160" s="41" t="e">
        <v>#N/A</v>
      </c>
      <c r="J160" s="41">
        <v>9.440055131095576E-2</v>
      </c>
      <c r="K160" s="42">
        <v>10.270594948955814</v>
      </c>
      <c r="L160" s="28" t="e">
        <v>#N/A</v>
      </c>
      <c r="M160" s="28">
        <v>11.784387305775645</v>
      </c>
      <c r="N160" s="41">
        <v>0.40584229005898176</v>
      </c>
      <c r="O160" s="29">
        <v>3.2711066056162692</v>
      </c>
      <c r="P160" s="41">
        <v>0.35140819109063393</v>
      </c>
      <c r="Q160" s="43" t="e">
        <v>#N/A</v>
      </c>
      <c r="R160" s="29" t="e">
        <v>#N/A</v>
      </c>
      <c r="S160" s="44">
        <v>2725843000</v>
      </c>
      <c r="T160" s="44">
        <v>2794793000</v>
      </c>
      <c r="U160" s="44">
        <v>2290530560</v>
      </c>
      <c r="V160" s="29">
        <v>8.1738909024586288</v>
      </c>
      <c r="W160" s="29">
        <v>13.640450744102917</v>
      </c>
      <c r="X160" s="29">
        <v>-14.871925568196742</v>
      </c>
      <c r="Y160" s="29">
        <v>16.600952359287355</v>
      </c>
      <c r="Z160" s="29">
        <v>1.6988416284520229</v>
      </c>
      <c r="AA160" t="s">
        <v>73</v>
      </c>
      <c r="AB160" t="s">
        <v>169</v>
      </c>
      <c r="AC160" t="s">
        <v>187</v>
      </c>
    </row>
    <row r="161" spans="5:29" hidden="1" x14ac:dyDescent="0.25">
      <c r="E161" s="1" t="s">
        <v>933</v>
      </c>
      <c r="F161" s="1" t="s">
        <v>934</v>
      </c>
      <c r="G161" s="41" t="e">
        <v>#N/A</v>
      </c>
      <c r="H161" s="41">
        <v>9.6407904466715974E-2</v>
      </c>
      <c r="I161" s="41" t="e">
        <v>#N/A</v>
      </c>
      <c r="J161" s="41">
        <v>9.6031839317702053E-2</v>
      </c>
      <c r="K161" s="42">
        <v>15.263985879500677</v>
      </c>
      <c r="L161" s="28" t="e">
        <v>#N/A</v>
      </c>
      <c r="M161" s="28">
        <v>47.793537928747746</v>
      </c>
      <c r="N161" s="41">
        <v>0.79862364033937405</v>
      </c>
      <c r="O161" s="29">
        <v>9.7485145290823443</v>
      </c>
      <c r="P161" s="41">
        <v>0.16127238724243087</v>
      </c>
      <c r="Q161" s="43" t="e">
        <v>#N/A</v>
      </c>
      <c r="R161" s="29" t="e">
        <v>#N/A</v>
      </c>
      <c r="S161" s="44">
        <v>6355899999.999999</v>
      </c>
      <c r="T161" s="44">
        <v>6380789999.999999</v>
      </c>
      <c r="U161" s="44">
        <v>1241874432</v>
      </c>
      <c r="V161" s="29">
        <v>11.750433522153909</v>
      </c>
      <c r="W161" s="29">
        <v>12.57272268658261</v>
      </c>
      <c r="X161" s="29">
        <v>-60.630042828677865</v>
      </c>
      <c r="Y161" s="29">
        <v>7.0592371358258337</v>
      </c>
      <c r="Z161" s="29">
        <v>1.0370056110922483</v>
      </c>
      <c r="AA161" t="s">
        <v>66</v>
      </c>
      <c r="AB161" t="s">
        <v>84</v>
      </c>
      <c r="AC161" t="s">
        <v>246</v>
      </c>
    </row>
    <row r="162" spans="5:29" hidden="1" x14ac:dyDescent="0.25">
      <c r="E162" s="1" t="s">
        <v>413</v>
      </c>
      <c r="F162" s="1" t="s">
        <v>414</v>
      </c>
      <c r="G162" s="41">
        <v>6.4486483667537634E-2</v>
      </c>
      <c r="H162" s="41">
        <v>9.2547138270356599E-2</v>
      </c>
      <c r="I162" s="41">
        <v>6.262079782320093E-2</v>
      </c>
      <c r="J162" s="41">
        <v>9.0117132071182507E-2</v>
      </c>
      <c r="K162" s="42">
        <v>11.136154082573507</v>
      </c>
      <c r="L162" s="28">
        <v>79.355262721092259</v>
      </c>
      <c r="M162" s="28">
        <v>114.49685998400898</v>
      </c>
      <c r="N162" s="41">
        <v>0.43440694310511091</v>
      </c>
      <c r="O162" s="29">
        <v>5.7051671732522795</v>
      </c>
      <c r="P162" s="41">
        <v>0.39857234580957057</v>
      </c>
      <c r="Q162" s="43" t="e">
        <v>#N/A</v>
      </c>
      <c r="R162" s="29">
        <v>4.0612703786027913</v>
      </c>
      <c r="S162" s="44">
        <v>20471000000</v>
      </c>
      <c r="T162" s="44">
        <v>21023000000</v>
      </c>
      <c r="U162" s="44">
        <v>11590170624</v>
      </c>
      <c r="V162" s="29">
        <v>11.827340741641338</v>
      </c>
      <c r="W162" s="29">
        <v>11.954516448540707</v>
      </c>
      <c r="X162" s="29">
        <v>-1.3373401050631504</v>
      </c>
      <c r="Y162" s="29">
        <v>48.988486298004844</v>
      </c>
      <c r="Z162" s="29">
        <v>1.1504444740505071</v>
      </c>
      <c r="AA162" t="s">
        <v>66</v>
      </c>
      <c r="AB162" t="s">
        <v>78</v>
      </c>
      <c r="AC162" t="s">
        <v>121</v>
      </c>
    </row>
    <row r="163" spans="5:29" hidden="1" x14ac:dyDescent="0.25">
      <c r="E163" s="1" t="s">
        <v>280</v>
      </c>
      <c r="F163" s="1" t="s">
        <v>281</v>
      </c>
      <c r="G163" s="41">
        <v>4.6947698739884317E-2</v>
      </c>
      <c r="H163" s="41">
        <v>9.1041511925394072E-2</v>
      </c>
      <c r="I163" s="41">
        <v>4.6885812154501071E-2</v>
      </c>
      <c r="J163" s="41">
        <v>9.0929978805809913E-2</v>
      </c>
      <c r="K163" s="42">
        <v>13.576802841837765</v>
      </c>
      <c r="L163" s="28">
        <v>15.903232209309852</v>
      </c>
      <c r="M163" s="28">
        <v>20.422418899993723</v>
      </c>
      <c r="N163" s="41">
        <v>0.3202822340105852</v>
      </c>
      <c r="O163" s="29">
        <v>2.1820766367999203</v>
      </c>
      <c r="P163" s="41">
        <v>0.46981393888444362</v>
      </c>
      <c r="Q163" s="43">
        <v>4.0327004297250696E-2</v>
      </c>
      <c r="R163" s="29">
        <v>11.095020781484557</v>
      </c>
      <c r="S163" s="44">
        <v>1938720000</v>
      </c>
      <c r="T163" s="44">
        <v>1941098000</v>
      </c>
      <c r="U163" s="44">
        <v>2884197888</v>
      </c>
      <c r="V163" s="29">
        <v>10.150772882873175</v>
      </c>
      <c r="W163" s="29">
        <v>15.528433953093234</v>
      </c>
      <c r="X163" s="29">
        <v>8.7019687880722838</v>
      </c>
      <c r="Y163" s="29">
        <v>20.290211010062155</v>
      </c>
      <c r="Z163" s="29">
        <v>2.4871707307503255</v>
      </c>
      <c r="AA163" t="s">
        <v>76</v>
      </c>
      <c r="AB163" t="s">
        <v>153</v>
      </c>
      <c r="AC163" t="s">
        <v>189</v>
      </c>
    </row>
    <row r="164" spans="5:29" hidden="1" x14ac:dyDescent="0.25">
      <c r="E164" s="1" t="s">
        <v>627</v>
      </c>
      <c r="F164" s="1" t="s">
        <v>628</v>
      </c>
      <c r="G164" s="41">
        <v>6.551576969017385E-2</v>
      </c>
      <c r="H164" s="41">
        <v>9.096075387838537E-2</v>
      </c>
      <c r="I164" s="41">
        <v>5.0178485635987535E-2</v>
      </c>
      <c r="J164" s="41">
        <v>6.6458029932141421E-2</v>
      </c>
      <c r="K164" s="42">
        <v>2.3982970293866273</v>
      </c>
      <c r="L164" s="28">
        <v>8.8071232787032443</v>
      </c>
      <c r="M164" s="28">
        <v>10.167611741160774</v>
      </c>
      <c r="N164" s="41">
        <v>-0.25687393892473642</v>
      </c>
      <c r="O164" s="29">
        <v>-2.6579096757915983</v>
      </c>
      <c r="P164" s="41">
        <v>0.68640174402174647</v>
      </c>
      <c r="Q164" s="43" t="e">
        <v>#N/A</v>
      </c>
      <c r="R164" s="29">
        <v>-0.36596025185197367</v>
      </c>
      <c r="S164" s="44">
        <v>117897000</v>
      </c>
      <c r="T164" s="44">
        <v>161365000</v>
      </c>
      <c r="U164" s="44">
        <v>1408747136</v>
      </c>
      <c r="V164" s="29">
        <v>9.0634810142550783</v>
      </c>
      <c r="W164" s="29">
        <v>14.691726189867593</v>
      </c>
      <c r="X164" s="29">
        <v>4.0031011414849091</v>
      </c>
      <c r="Y164" s="29">
        <v>55.709497141953861</v>
      </c>
      <c r="Z164" s="29">
        <v>1.4511739698490311</v>
      </c>
      <c r="AA164" t="s">
        <v>71</v>
      </c>
      <c r="AB164" t="s">
        <v>75</v>
      </c>
      <c r="AC164" t="s">
        <v>226</v>
      </c>
    </row>
    <row r="165" spans="5:29" hidden="1" x14ac:dyDescent="0.25">
      <c r="E165" s="1" t="s">
        <v>621</v>
      </c>
      <c r="F165" s="1" t="s">
        <v>622</v>
      </c>
      <c r="G165" s="41">
        <v>8.3128375548189679E-2</v>
      </c>
      <c r="H165" s="41">
        <v>9.0579138908056397E-2</v>
      </c>
      <c r="I165" s="41">
        <v>8.3128375548189679E-2</v>
      </c>
      <c r="J165" s="41">
        <v>9.0579138908056397E-2</v>
      </c>
      <c r="K165" s="42">
        <v>14.107844365041872</v>
      </c>
      <c r="L165" s="28">
        <v>25.065993339232108</v>
      </c>
      <c r="M165" s="28">
        <v>27.863778397986973</v>
      </c>
      <c r="N165" s="41">
        <v>0.46890596493792208</v>
      </c>
      <c r="O165" s="29">
        <v>5.9143555336434375</v>
      </c>
      <c r="P165" s="41">
        <v>0.32069352589632971</v>
      </c>
      <c r="Q165" s="43" t="e">
        <v>#N/A</v>
      </c>
      <c r="R165" s="29">
        <v>12.461745924574995</v>
      </c>
      <c r="S165" s="44">
        <v>4294013000</v>
      </c>
      <c r="T165" s="44">
        <v>4294013000</v>
      </c>
      <c r="U165" s="44">
        <v>4491759616</v>
      </c>
      <c r="V165" s="29">
        <v>15.541972553643008</v>
      </c>
      <c r="W165" s="29">
        <v>16.800487566154729</v>
      </c>
      <c r="X165" s="29">
        <v>-8.0571542321823131</v>
      </c>
      <c r="Y165" s="29">
        <v>20.034778981432837</v>
      </c>
      <c r="Z165" s="29">
        <v>2.3917809152774425</v>
      </c>
      <c r="AA165" t="s">
        <v>66</v>
      </c>
      <c r="AB165" t="s">
        <v>78</v>
      </c>
      <c r="AC165" t="s">
        <v>121</v>
      </c>
    </row>
    <row r="166" spans="5:29" hidden="1" x14ac:dyDescent="0.25">
      <c r="E166" s="1" t="s">
        <v>751</v>
      </c>
      <c r="F166" s="1" t="s">
        <v>752</v>
      </c>
      <c r="G166" s="41" t="e">
        <v>#N/A</v>
      </c>
      <c r="H166" s="41">
        <v>8.9649896656182324E-2</v>
      </c>
      <c r="I166" s="41" t="e">
        <v>#N/A</v>
      </c>
      <c r="J166" s="41">
        <v>8.9649896656182324E-2</v>
      </c>
      <c r="K166" s="42">
        <v>16.956079296016284</v>
      </c>
      <c r="L166" s="28" t="e">
        <v>#N/A</v>
      </c>
      <c r="M166" s="28" t="e">
        <v>#N/A</v>
      </c>
      <c r="N166" s="41">
        <v>0.39914592251038861</v>
      </c>
      <c r="O166" s="29" t="e">
        <v>#N/A</v>
      </c>
      <c r="P166" s="41">
        <v>0.52500700467004613</v>
      </c>
      <c r="Q166" s="43" t="e">
        <v>#N/A</v>
      </c>
      <c r="R166" s="29" t="e">
        <v>#N/A</v>
      </c>
      <c r="S166" s="44">
        <v>3034047000</v>
      </c>
      <c r="T166" s="44">
        <v>3034047000</v>
      </c>
      <c r="U166" s="44">
        <v>790597248</v>
      </c>
      <c r="V166" s="29" t="e">
        <v>#N/A</v>
      </c>
      <c r="W166" s="29">
        <v>4.8997246005433039</v>
      </c>
      <c r="X166" s="29">
        <v>2.1167541428122956</v>
      </c>
      <c r="Y166" s="29">
        <v>2.5872374184504192</v>
      </c>
      <c r="Z166" s="29">
        <v>0.40517866632752536</v>
      </c>
      <c r="AA166" t="s">
        <v>66</v>
      </c>
      <c r="AB166" t="s">
        <v>110</v>
      </c>
      <c r="AC166" t="s">
        <v>110</v>
      </c>
    </row>
    <row r="167" spans="5:29" hidden="1" x14ac:dyDescent="0.25">
      <c r="E167" s="1" t="s">
        <v>906</v>
      </c>
      <c r="F167" s="1" t="s">
        <v>907</v>
      </c>
      <c r="G167" s="41" t="e">
        <v>#N/A</v>
      </c>
      <c r="H167" s="41">
        <v>8.6636584290224916E-2</v>
      </c>
      <c r="I167" s="41" t="e">
        <v>#N/A</v>
      </c>
      <c r="J167" s="41">
        <v>6.1367333075743789E-2</v>
      </c>
      <c r="K167" s="42" t="e">
        <v>#N/A</v>
      </c>
      <c r="L167" s="28" t="e">
        <v>#N/A</v>
      </c>
      <c r="M167" s="28">
        <v>21.970133352159774</v>
      </c>
      <c r="N167" s="41">
        <v>0.48965448488761332</v>
      </c>
      <c r="O167" s="29" t="e">
        <v>#N/A</v>
      </c>
      <c r="P167" s="41">
        <v>0.43853400194304548</v>
      </c>
      <c r="Q167" s="43" t="e">
        <v>#N/A</v>
      </c>
      <c r="R167" s="29" t="e">
        <v>#N/A</v>
      </c>
      <c r="S167" s="44">
        <v>909281000</v>
      </c>
      <c r="T167" s="44">
        <v>1283696000</v>
      </c>
      <c r="U167" s="44">
        <v>575788608</v>
      </c>
      <c r="V167" s="29" t="e">
        <v>#N/A</v>
      </c>
      <c r="W167" s="29" t="e">
        <v>#N/A</v>
      </c>
      <c r="X167" s="29" t="e">
        <v>#N/A</v>
      </c>
      <c r="Y167" s="29" t="e">
        <v>#N/A</v>
      </c>
      <c r="Z167" s="29">
        <v>0.7295764053156556</v>
      </c>
      <c r="AA167" t="s">
        <v>81</v>
      </c>
      <c r="AB167" t="s">
        <v>148</v>
      </c>
      <c r="AC167" t="s">
        <v>206</v>
      </c>
    </row>
    <row r="168" spans="5:29" hidden="1" x14ac:dyDescent="0.25">
      <c r="E168" s="1" t="s">
        <v>1015</v>
      </c>
      <c r="F168" s="1" t="s">
        <v>1016</v>
      </c>
      <c r="G168" s="41" t="e">
        <v>#N/A</v>
      </c>
      <c r="H168" s="41">
        <v>8.6447900493968416E-2</v>
      </c>
      <c r="I168" s="41" t="e">
        <v>#N/A</v>
      </c>
      <c r="J168" s="41">
        <v>8.6447900493968416E-2</v>
      </c>
      <c r="K168" s="42" t="e">
        <v>#N/A</v>
      </c>
      <c r="L168" s="28" t="e">
        <v>#N/A</v>
      </c>
      <c r="M168" s="28">
        <v>13.618359386810994</v>
      </c>
      <c r="N168" s="41" t="e">
        <v>#N/A</v>
      </c>
      <c r="O168" s="29" t="e">
        <v>#N/A</v>
      </c>
      <c r="P168" s="41">
        <v>0.57155236444664526</v>
      </c>
      <c r="Q168" s="43" t="e">
        <v>#N/A</v>
      </c>
      <c r="R168" s="29" t="e">
        <v>#N/A</v>
      </c>
      <c r="S168" s="44">
        <v>99220790.400000006</v>
      </c>
      <c r="T168" s="44">
        <v>99220790.400000006</v>
      </c>
      <c r="U168" s="44">
        <v>647121088</v>
      </c>
      <c r="V168" s="29" t="e">
        <v>#N/A</v>
      </c>
      <c r="W168" s="29" t="e">
        <v>#N/A</v>
      </c>
      <c r="X168" s="29" t="e">
        <v>#N/A</v>
      </c>
      <c r="Y168" s="29" t="e">
        <v>#N/A</v>
      </c>
      <c r="Z168" s="29">
        <v>3.7790501820971376</v>
      </c>
      <c r="AA168" t="s">
        <v>73</v>
      </c>
      <c r="AB168" t="s">
        <v>96</v>
      </c>
      <c r="AC168" t="s">
        <v>158</v>
      </c>
    </row>
    <row r="169" spans="5:29" hidden="1" x14ac:dyDescent="0.25">
      <c r="E169" s="1" t="s">
        <v>944</v>
      </c>
      <c r="F169" s="1" t="s">
        <v>945</v>
      </c>
      <c r="G169" s="41" t="e">
        <v>#N/A</v>
      </c>
      <c r="H169" s="41">
        <v>8.3086590658734277E-2</v>
      </c>
      <c r="I169" s="41" t="e">
        <v>#N/A</v>
      </c>
      <c r="J169" s="41">
        <v>8.3086590658734277E-2</v>
      </c>
      <c r="K169" s="42">
        <v>29.489223188955094</v>
      </c>
      <c r="L169" s="28" t="e">
        <v>#N/A</v>
      </c>
      <c r="M169" s="28">
        <v>89.367323543861588</v>
      </c>
      <c r="N169" s="41">
        <v>0.80650111231468302</v>
      </c>
      <c r="O169" s="29">
        <v>7.8495314105029994</v>
      </c>
      <c r="P169" s="41">
        <v>0.17086126426008272</v>
      </c>
      <c r="Q169" s="43" t="e">
        <v>#N/A</v>
      </c>
      <c r="R169" s="29" t="e">
        <v>#N/A</v>
      </c>
      <c r="S169" s="44">
        <v>1966286000</v>
      </c>
      <c r="T169" s="44">
        <v>1966286000</v>
      </c>
      <c r="U169" s="44">
        <v>563917120</v>
      </c>
      <c r="V169" s="29">
        <v>10.2358804705763</v>
      </c>
      <c r="W169" s="29">
        <v>10.250439707905599</v>
      </c>
      <c r="X169" s="29">
        <v>-118.50198837729913</v>
      </c>
      <c r="Y169" s="29">
        <v>5.3838861910872025</v>
      </c>
      <c r="Z169" s="29">
        <v>1.4541383900130347</v>
      </c>
      <c r="AA169" t="s">
        <v>66</v>
      </c>
      <c r="AB169" t="s">
        <v>84</v>
      </c>
      <c r="AC169" t="s">
        <v>208</v>
      </c>
    </row>
    <row r="170" spans="5:29" hidden="1" x14ac:dyDescent="0.25">
      <c r="E170" s="1" t="s">
        <v>716</v>
      </c>
      <c r="F170" s="1" t="s">
        <v>717</v>
      </c>
      <c r="G170" s="41">
        <v>1.6154511657593931E-2</v>
      </c>
      <c r="H170" s="41">
        <v>8.1021354379356231E-2</v>
      </c>
      <c r="I170" s="41">
        <v>1.6154511657593931E-2</v>
      </c>
      <c r="J170" s="41">
        <v>8.1021354379356231E-2</v>
      </c>
      <c r="K170" s="42" t="e">
        <v>#N/A</v>
      </c>
      <c r="L170" s="28" t="e">
        <v>#N/A</v>
      </c>
      <c r="M170" s="28">
        <v>61.246628259349293</v>
      </c>
      <c r="N170" s="41">
        <v>0.48099440865800691</v>
      </c>
      <c r="O170" s="29" t="e">
        <v>#N/A</v>
      </c>
      <c r="P170" s="41">
        <v>0.37929407658647102</v>
      </c>
      <c r="Q170" s="43" t="e">
        <v>#N/A</v>
      </c>
      <c r="R170" s="29" t="e">
        <v>#N/A</v>
      </c>
      <c r="S170" s="44">
        <v>719946000</v>
      </c>
      <c r="T170" s="44">
        <v>719946000</v>
      </c>
      <c r="U170" s="44">
        <v>2368736256</v>
      </c>
      <c r="V170" s="29" t="e">
        <v>#N/A</v>
      </c>
      <c r="W170" s="29" t="e">
        <v>#N/A</v>
      </c>
      <c r="X170" s="29" t="e">
        <v>#N/A</v>
      </c>
      <c r="Y170" s="29" t="e">
        <v>#N/A</v>
      </c>
      <c r="Z170" s="29">
        <v>2.0957888313229285</v>
      </c>
      <c r="AA170" t="s">
        <v>69</v>
      </c>
      <c r="AB170" t="s">
        <v>159</v>
      </c>
      <c r="AC170" t="s">
        <v>186</v>
      </c>
    </row>
    <row r="171" spans="5:29" hidden="1" x14ac:dyDescent="0.25">
      <c r="E171" s="1" t="s">
        <v>431</v>
      </c>
      <c r="F171" s="1" t="s">
        <v>432</v>
      </c>
      <c r="G171" s="41">
        <v>5.4304199492365111E-2</v>
      </c>
      <c r="H171" s="41">
        <v>8.0666218157354044E-2</v>
      </c>
      <c r="I171" s="41">
        <v>5.4304199492365111E-2</v>
      </c>
      <c r="J171" s="41">
        <v>8.0666218157354044E-2</v>
      </c>
      <c r="K171" s="42" t="e">
        <v>#N/A</v>
      </c>
      <c r="L171" s="28">
        <v>10.286066608065589</v>
      </c>
      <c r="M171" s="28">
        <v>15.460624747928131</v>
      </c>
      <c r="N171" s="41">
        <v>0.16559657710652659</v>
      </c>
      <c r="O171" s="29" t="e">
        <v>#N/A</v>
      </c>
      <c r="P171" s="41">
        <v>0.2658053708221666</v>
      </c>
      <c r="Q171" s="43" t="e">
        <v>#N/A</v>
      </c>
      <c r="R171" s="29" t="e">
        <v>#N/A</v>
      </c>
      <c r="S171" s="44">
        <v>274985000</v>
      </c>
      <c r="T171" s="44">
        <v>274985000</v>
      </c>
      <c r="U171" s="44">
        <v>227863760</v>
      </c>
      <c r="V171" s="29" t="e">
        <v>#N/A</v>
      </c>
      <c r="W171" s="29" t="e">
        <v>#N/A</v>
      </c>
      <c r="X171" s="29" t="e">
        <v>#N/A</v>
      </c>
      <c r="Y171" s="29" t="e">
        <v>#N/A</v>
      </c>
      <c r="Z171" s="29">
        <v>1.5024497380092896</v>
      </c>
      <c r="AA171" t="s">
        <v>66</v>
      </c>
      <c r="AB171" t="s">
        <v>78</v>
      </c>
      <c r="AC171" t="s">
        <v>121</v>
      </c>
    </row>
    <row r="172" spans="5:29" hidden="1" x14ac:dyDescent="0.25">
      <c r="E172" s="1" t="s">
        <v>999</v>
      </c>
      <c r="F172" s="1" t="s">
        <v>1000</v>
      </c>
      <c r="G172" s="41" t="e">
        <v>#N/A</v>
      </c>
      <c r="H172" s="41">
        <v>7.8708406854707147E-2</v>
      </c>
      <c r="I172" s="41" t="e">
        <v>#N/A</v>
      </c>
      <c r="J172" s="41">
        <v>7.2779814575607643E-2</v>
      </c>
      <c r="K172" s="42">
        <v>3.2266411505014823</v>
      </c>
      <c r="L172" s="28">
        <v>19.386283100645365</v>
      </c>
      <c r="M172" s="28">
        <v>20.775534952304774</v>
      </c>
      <c r="N172" s="41">
        <v>0.46935914240111726</v>
      </c>
      <c r="O172" s="29">
        <v>9.9360150906713258</v>
      </c>
      <c r="P172" s="41">
        <v>0.37198273008675081</v>
      </c>
      <c r="Q172" s="43" t="e">
        <v>#N/A</v>
      </c>
      <c r="R172" s="29" t="e">
        <v>#N/A</v>
      </c>
      <c r="S172" s="44">
        <v>1186163000</v>
      </c>
      <c r="T172" s="44">
        <v>1282787000</v>
      </c>
      <c r="U172" s="44">
        <v>2533134592</v>
      </c>
      <c r="V172" s="29">
        <v>22.049957343393782</v>
      </c>
      <c r="W172" s="29">
        <v>119.30116235677166</v>
      </c>
      <c r="X172" s="29">
        <v>6.2443977710285044</v>
      </c>
      <c r="Y172" s="29">
        <v>37.935645272601796</v>
      </c>
      <c r="Z172" s="29">
        <v>1.4616944473272238</v>
      </c>
      <c r="AA172" t="s">
        <v>77</v>
      </c>
      <c r="AB172" t="s">
        <v>129</v>
      </c>
      <c r="AC172" t="s">
        <v>250</v>
      </c>
    </row>
    <row r="173" spans="5:29" hidden="1" x14ac:dyDescent="0.25">
      <c r="E173" s="1" t="s">
        <v>672</v>
      </c>
      <c r="F173" s="1" t="s">
        <v>673</v>
      </c>
      <c r="G173" s="41">
        <v>9.5963424495980165E-2</v>
      </c>
      <c r="H173" s="41">
        <v>7.7606066861904355E-2</v>
      </c>
      <c r="I173" s="41">
        <v>9.5730264417473815E-2</v>
      </c>
      <c r="J173" s="41">
        <v>7.748206543448799E-2</v>
      </c>
      <c r="K173" s="42" t="e">
        <v>#N/A</v>
      </c>
      <c r="L173" s="28">
        <v>22.318743854063676</v>
      </c>
      <c r="M173" s="28">
        <v>29.77123781243203</v>
      </c>
      <c r="N173" s="41">
        <v>0.57783443988684002</v>
      </c>
      <c r="O173" s="29" t="e">
        <v>#N/A</v>
      </c>
      <c r="P173" s="41">
        <v>0.29754088388198319</v>
      </c>
      <c r="Q173" s="43" t="e">
        <v>#N/A</v>
      </c>
      <c r="R173" s="29" t="e">
        <v>#N/A</v>
      </c>
      <c r="S173" s="44">
        <v>547367000</v>
      </c>
      <c r="T173" s="44">
        <v>548243000</v>
      </c>
      <c r="U173" s="44">
        <v>230103232</v>
      </c>
      <c r="V173" s="29" t="e">
        <v>#N/A</v>
      </c>
      <c r="W173" s="29" t="e">
        <v>#N/A</v>
      </c>
      <c r="X173" s="29" t="e">
        <v>#N/A</v>
      </c>
      <c r="Y173" s="29" t="e">
        <v>#N/A</v>
      </c>
      <c r="Z173" s="29">
        <v>1.080670710877736</v>
      </c>
      <c r="AA173" t="s">
        <v>77</v>
      </c>
      <c r="AB173" t="s">
        <v>102</v>
      </c>
      <c r="AC173" t="s">
        <v>112</v>
      </c>
    </row>
    <row r="174" spans="5:29" hidden="1" x14ac:dyDescent="0.25">
      <c r="E174" s="1" t="s">
        <v>389</v>
      </c>
      <c r="F174" s="1" t="s">
        <v>390</v>
      </c>
      <c r="G174" s="41">
        <v>2.8604671416392512E-2</v>
      </c>
      <c r="H174" s="41">
        <v>7.7139247608034506E-2</v>
      </c>
      <c r="I174" s="41">
        <v>2.8427796061476614E-2</v>
      </c>
      <c r="J174" s="41">
        <v>7.6759102510808946E-2</v>
      </c>
      <c r="K174" s="42" t="e">
        <v>#N/A</v>
      </c>
      <c r="L174" s="28">
        <v>18.335605908401661</v>
      </c>
      <c r="M174" s="28">
        <v>78.023991409100873</v>
      </c>
      <c r="N174" s="41">
        <v>0.54403735815106236</v>
      </c>
      <c r="O174" s="29" t="e">
        <v>#N/A</v>
      </c>
      <c r="P174" s="41">
        <v>0.43069541357409369</v>
      </c>
      <c r="Q174" s="43" t="e">
        <v>#N/A</v>
      </c>
      <c r="R174" s="29" t="e">
        <v>#N/A</v>
      </c>
      <c r="S174" s="44">
        <v>1982052000</v>
      </c>
      <c r="T174" s="44">
        <v>1991868000</v>
      </c>
      <c r="U174" s="44">
        <v>934328448</v>
      </c>
      <c r="V174" s="29" t="e">
        <v>#N/A</v>
      </c>
      <c r="W174" s="29" t="e">
        <v>#N/A</v>
      </c>
      <c r="X174" s="29" t="e">
        <v>#N/A</v>
      </c>
      <c r="Y174" s="29" t="e">
        <v>#N/A</v>
      </c>
      <c r="Z174" s="29">
        <v>0.66048447912011932</v>
      </c>
      <c r="AA174" t="s">
        <v>66</v>
      </c>
      <c r="AB174" t="s">
        <v>78</v>
      </c>
      <c r="AC174" t="s">
        <v>121</v>
      </c>
    </row>
    <row r="175" spans="5:29" hidden="1" x14ac:dyDescent="0.25">
      <c r="E175" s="1" t="s">
        <v>726</v>
      </c>
      <c r="F175" s="1" t="s">
        <v>727</v>
      </c>
      <c r="G175" s="41">
        <v>1.2381038845687321E-2</v>
      </c>
      <c r="H175" s="41">
        <v>7.6900469676217303E-2</v>
      </c>
      <c r="I175" s="41">
        <v>1.2381038845687321E-2</v>
      </c>
      <c r="J175" s="41">
        <v>7.6900469676217303E-2</v>
      </c>
      <c r="K175" s="42">
        <v>7.4605903894365184</v>
      </c>
      <c r="L175" s="28" t="e">
        <v>#N/A</v>
      </c>
      <c r="M175" s="28">
        <v>-0.60059451151511223</v>
      </c>
      <c r="N175" s="41">
        <v>-1.3604430229963554E-2</v>
      </c>
      <c r="O175" s="29" t="e">
        <v>#N/A</v>
      </c>
      <c r="P175" s="41">
        <v>0.6078637934182145</v>
      </c>
      <c r="Q175" s="43" t="e">
        <v>#N/A</v>
      </c>
      <c r="R175" s="29" t="e">
        <v>#N/A</v>
      </c>
      <c r="S175" s="44">
        <v>180337000</v>
      </c>
      <c r="T175" s="44">
        <v>180337000</v>
      </c>
      <c r="U175" s="44">
        <v>418829856</v>
      </c>
      <c r="V175" s="29" t="e">
        <v>#N/A</v>
      </c>
      <c r="W175" s="29">
        <v>39.172577527875724</v>
      </c>
      <c r="X175" s="29" t="e">
        <v>#N/A</v>
      </c>
      <c r="Y175" s="29">
        <v>12.72411550209768</v>
      </c>
      <c r="Z175" s="29">
        <v>0.93690145094426525</v>
      </c>
      <c r="AA175" t="s">
        <v>73</v>
      </c>
      <c r="AB175" t="s">
        <v>74</v>
      </c>
      <c r="AC175" t="s">
        <v>188</v>
      </c>
    </row>
    <row r="176" spans="5:29" hidden="1" x14ac:dyDescent="0.25">
      <c r="E176" s="1" t="s">
        <v>521</v>
      </c>
      <c r="F176" s="1" t="s">
        <v>522</v>
      </c>
      <c r="G176" s="41">
        <v>5.078523147980403E-2</v>
      </c>
      <c r="H176" s="41">
        <v>7.4528446452368502E-2</v>
      </c>
      <c r="I176" s="41">
        <v>4.8227488566396318E-2</v>
      </c>
      <c r="J176" s="41">
        <v>7.1650070010463751E-2</v>
      </c>
      <c r="K176" s="42">
        <v>10.837085727101773</v>
      </c>
      <c r="L176" s="28">
        <v>17.429227872801551</v>
      </c>
      <c r="M176" s="28">
        <v>22.402439035677556</v>
      </c>
      <c r="N176" s="41">
        <v>0.54152207831862775</v>
      </c>
      <c r="O176" s="29">
        <v>4.3330298750763507</v>
      </c>
      <c r="P176" s="41">
        <v>0.26204959384028925</v>
      </c>
      <c r="Q176" s="43" t="e">
        <v>#N/A</v>
      </c>
      <c r="R176" s="29">
        <v>4.9749292498582527</v>
      </c>
      <c r="S176" s="44">
        <v>1461764000</v>
      </c>
      <c r="T176" s="44">
        <v>1520487000</v>
      </c>
      <c r="U176" s="44">
        <v>585666624</v>
      </c>
      <c r="V176" s="29">
        <v>6.8643060104187335</v>
      </c>
      <c r="W176" s="29">
        <v>15.394245190336175</v>
      </c>
      <c r="X176" s="29">
        <v>23.956120128846543</v>
      </c>
      <c r="Y176" s="29">
        <v>11.49486813562674</v>
      </c>
      <c r="Z176" s="29">
        <v>1.2081928658448122</v>
      </c>
      <c r="AA176" t="s">
        <v>77</v>
      </c>
      <c r="AB176" t="s">
        <v>90</v>
      </c>
      <c r="AC176" t="s">
        <v>113</v>
      </c>
    </row>
    <row r="177" spans="5:29" hidden="1" x14ac:dyDescent="0.25">
      <c r="E177" s="1" t="s">
        <v>991</v>
      </c>
      <c r="F177" s="1" t="s">
        <v>992</v>
      </c>
      <c r="G177" s="41" t="e">
        <v>#N/A</v>
      </c>
      <c r="H177" s="41">
        <v>7.3635372465700288E-2</v>
      </c>
      <c r="I177" s="41" t="e">
        <v>#N/A</v>
      </c>
      <c r="J177" s="41">
        <v>7.3635372465700288E-2</v>
      </c>
      <c r="K177" s="42">
        <v>14.198877651045702</v>
      </c>
      <c r="L177" s="28" t="e">
        <v>#N/A</v>
      </c>
      <c r="M177" s="28">
        <v>83.358507972974195</v>
      </c>
      <c r="N177" s="41">
        <v>0.33178976912982922</v>
      </c>
      <c r="O177" s="29">
        <v>3.0856123277610803</v>
      </c>
      <c r="P177" s="41">
        <v>0.57338035342297622</v>
      </c>
      <c r="Q177" s="43" t="e">
        <v>#N/A</v>
      </c>
      <c r="R177" s="29" t="e">
        <v>#N/A</v>
      </c>
      <c r="S177" s="44">
        <v>2503009000</v>
      </c>
      <c r="T177" s="44">
        <v>2503009000</v>
      </c>
      <c r="U177" s="44">
        <v>869694272</v>
      </c>
      <c r="V177" s="29">
        <v>5.8993282625505108</v>
      </c>
      <c r="W177" s="29">
        <v>5.8995763917198891</v>
      </c>
      <c r="X177" s="29">
        <v>23.55011486151308</v>
      </c>
      <c r="Y177" s="29">
        <v>4.5704276198870586</v>
      </c>
      <c r="Z177" s="29">
        <v>0.53062672639275432</v>
      </c>
      <c r="AA177" t="s">
        <v>66</v>
      </c>
      <c r="AB177" t="s">
        <v>176</v>
      </c>
      <c r="AC177" t="s">
        <v>236</v>
      </c>
    </row>
    <row r="178" spans="5:29" hidden="1" x14ac:dyDescent="0.25">
      <c r="E178" s="1" t="s">
        <v>724</v>
      </c>
      <c r="F178" s="1" t="s">
        <v>725</v>
      </c>
      <c r="G178" s="41" t="e">
        <v>#N/A</v>
      </c>
      <c r="H178" s="41">
        <v>7.2293648500516991E-2</v>
      </c>
      <c r="I178" s="41" t="e">
        <v>#N/A</v>
      </c>
      <c r="J178" s="41">
        <v>7.2293648500516991E-2</v>
      </c>
      <c r="K178" s="42">
        <v>4.8796201775525612</v>
      </c>
      <c r="L178" s="28" t="e">
        <v>#N/A</v>
      </c>
      <c r="M178" s="28">
        <v>66.344919010729541</v>
      </c>
      <c r="N178" s="41">
        <v>0.26842654552151762</v>
      </c>
      <c r="O178" s="29">
        <v>2.9498937936636391</v>
      </c>
      <c r="P178" s="41">
        <v>0.59033703726441156</v>
      </c>
      <c r="Q178" s="43" t="e">
        <v>#N/A</v>
      </c>
      <c r="R178" s="29" t="e">
        <v>#N/A</v>
      </c>
      <c r="S178" s="44">
        <v>504244294.39999998</v>
      </c>
      <c r="T178" s="44">
        <v>504244294.39999998</v>
      </c>
      <c r="U178" s="44">
        <v>216410816</v>
      </c>
      <c r="V178" s="29">
        <v>6.8847876447939598</v>
      </c>
      <c r="W178" s="29">
        <v>10.047250538449175</v>
      </c>
      <c r="X178" s="29">
        <v>15.873612731216504</v>
      </c>
      <c r="Y178" s="29">
        <v>13.220910790214795</v>
      </c>
      <c r="Z178" s="29">
        <v>0.60652971140718848</v>
      </c>
      <c r="AA178" t="s">
        <v>69</v>
      </c>
      <c r="AB178" t="s">
        <v>159</v>
      </c>
      <c r="AC178" t="s">
        <v>186</v>
      </c>
    </row>
    <row r="179" spans="5:29" hidden="1" x14ac:dyDescent="0.25">
      <c r="E179" s="1" t="s">
        <v>543</v>
      </c>
      <c r="F179" s="1" t="s">
        <v>544</v>
      </c>
      <c r="G179" s="41">
        <v>-6.7261354010761359E-2</v>
      </c>
      <c r="H179" s="41">
        <v>7.219271283025383E-2</v>
      </c>
      <c r="I179" s="41">
        <v>-6.7261354010761359E-2</v>
      </c>
      <c r="J179" s="41">
        <v>7.219271283025383E-2</v>
      </c>
      <c r="K179" s="42" t="e">
        <v>#N/A</v>
      </c>
      <c r="L179" s="28">
        <v>1.5671256885860729</v>
      </c>
      <c r="M179" s="28">
        <v>15.837478226407089</v>
      </c>
      <c r="N179" s="41">
        <v>0.50992062365774515</v>
      </c>
      <c r="O179" s="29">
        <v>3.4287341015212496</v>
      </c>
      <c r="P179" s="41">
        <v>-9.5993970299309048E-2</v>
      </c>
      <c r="Q179" s="43" t="e">
        <v>#N/A</v>
      </c>
      <c r="R179" s="29">
        <v>30.161960948335839</v>
      </c>
      <c r="S179" s="44">
        <v>1447750000.0000002</v>
      </c>
      <c r="T179" s="44">
        <v>1447750000.0000002</v>
      </c>
      <c r="U179" s="44">
        <v>986354112</v>
      </c>
      <c r="V179" s="29">
        <v>3.93127719652407</v>
      </c>
      <c r="W179" s="29">
        <v>7.5101284463132654</v>
      </c>
      <c r="X179" s="29">
        <v>94.873542319001373</v>
      </c>
      <c r="Y179" s="29">
        <v>6.1962458124177893</v>
      </c>
      <c r="Z179" s="29" t="e">
        <v>#N/A</v>
      </c>
      <c r="AA179" t="s">
        <v>76</v>
      </c>
      <c r="AB179" t="s">
        <v>234</v>
      </c>
      <c r="AC179" t="s">
        <v>234</v>
      </c>
    </row>
    <row r="180" spans="5:29" hidden="1" x14ac:dyDescent="0.25">
      <c r="E180" s="1" t="s">
        <v>423</v>
      </c>
      <c r="F180" s="1" t="s">
        <v>424</v>
      </c>
      <c r="G180" s="41">
        <v>6.0837052204726218E-2</v>
      </c>
      <c r="H180" s="41">
        <v>7.1267469609908554E-2</v>
      </c>
      <c r="I180" s="41">
        <v>6.0837052204726218E-2</v>
      </c>
      <c r="J180" s="41">
        <v>7.1267469609908554E-2</v>
      </c>
      <c r="K180" s="42">
        <v>9.0713787783892315</v>
      </c>
      <c r="L180" s="28">
        <v>56.465673322420074</v>
      </c>
      <c r="M180" s="28">
        <v>65.596206230172072</v>
      </c>
      <c r="N180" s="41">
        <v>0.59812721611948227</v>
      </c>
      <c r="O180" s="29">
        <v>12.328710204315557</v>
      </c>
      <c r="P180" s="41">
        <v>0.35727825597956914</v>
      </c>
      <c r="Q180" s="43" t="e">
        <v>#N/A</v>
      </c>
      <c r="R180" s="29">
        <v>40.417964178826061</v>
      </c>
      <c r="S180" s="44">
        <v>1358502000</v>
      </c>
      <c r="T180" s="44">
        <v>1358502000</v>
      </c>
      <c r="U180" s="44">
        <v>376061888</v>
      </c>
      <c r="V180" s="29">
        <v>17.716879502536035</v>
      </c>
      <c r="W180" s="29">
        <v>19.742498171890219</v>
      </c>
      <c r="X180" s="29">
        <v>-16.988959008789532</v>
      </c>
      <c r="Y180" s="29">
        <v>8.4792629853310615</v>
      </c>
      <c r="Z180" s="29">
        <v>0.75670461461742133</v>
      </c>
      <c r="AA180" t="s">
        <v>66</v>
      </c>
      <c r="AB180" t="s">
        <v>110</v>
      </c>
      <c r="AC180" t="s">
        <v>110</v>
      </c>
    </row>
    <row r="181" spans="5:29" hidden="1" x14ac:dyDescent="0.25">
      <c r="E181" s="1" t="s">
        <v>993</v>
      </c>
      <c r="F181" s="1" t="s">
        <v>994</v>
      </c>
      <c r="G181" s="41" t="e">
        <v>#N/A</v>
      </c>
      <c r="H181" s="41">
        <v>7.0624071461274682E-2</v>
      </c>
      <c r="I181" s="41" t="e">
        <v>#N/A</v>
      </c>
      <c r="J181" s="41">
        <v>7.0468612919556473E-2</v>
      </c>
      <c r="K181" s="42">
        <v>9.4763162439769388</v>
      </c>
      <c r="L181" s="28">
        <v>14.915645190871095</v>
      </c>
      <c r="M181" s="28">
        <v>14.746507843370367</v>
      </c>
      <c r="N181" s="41">
        <v>2.7347558589825738E-2</v>
      </c>
      <c r="O181" s="29">
        <v>0.27387438907510064</v>
      </c>
      <c r="P181" s="41">
        <v>0.57468374484129814</v>
      </c>
      <c r="Q181" s="43" t="e">
        <v>#N/A</v>
      </c>
      <c r="R181" s="29" t="e">
        <v>#N/A</v>
      </c>
      <c r="S181" s="44">
        <v>1070230000</v>
      </c>
      <c r="T181" s="44">
        <v>1072591000</v>
      </c>
      <c r="U181" s="44">
        <v>1229105280</v>
      </c>
      <c r="V181" s="29">
        <v>6.791214754332735</v>
      </c>
      <c r="W181" s="29">
        <v>8.7668155439352002</v>
      </c>
      <c r="X181" s="29">
        <v>12.736988649174137</v>
      </c>
      <c r="Y181" s="29">
        <v>17.108807316462041</v>
      </c>
      <c r="Z181" s="29">
        <v>1.1563557664608439</v>
      </c>
      <c r="AA181" t="s">
        <v>77</v>
      </c>
      <c r="AB181" t="s">
        <v>85</v>
      </c>
      <c r="AC181" t="s">
        <v>195</v>
      </c>
    </row>
    <row r="182" spans="5:29" hidden="1" x14ac:dyDescent="0.25">
      <c r="E182" s="1" t="s">
        <v>356</v>
      </c>
      <c r="F182" s="1" t="s">
        <v>357</v>
      </c>
      <c r="G182" s="41">
        <v>6.5491407925024503E-2</v>
      </c>
      <c r="H182" s="41">
        <v>7.0278635326443115E-2</v>
      </c>
      <c r="I182" s="41">
        <v>6.1351740587646808E-2</v>
      </c>
      <c r="J182" s="41">
        <v>6.6421124448329524E-2</v>
      </c>
      <c r="K182" s="42" t="e">
        <v>#N/A</v>
      </c>
      <c r="L182" s="28">
        <v>10.582149307947223</v>
      </c>
      <c r="M182" s="28">
        <v>13.454876531037407</v>
      </c>
      <c r="N182" s="41">
        <v>0.43920473812131294</v>
      </c>
      <c r="O182" s="29" t="e">
        <v>#N/A</v>
      </c>
      <c r="P182" s="41">
        <v>0.37360323827262792</v>
      </c>
      <c r="Q182" s="43" t="e">
        <v>#N/A</v>
      </c>
      <c r="R182" s="29" t="e">
        <v>#N/A</v>
      </c>
      <c r="S182" s="44">
        <v>1773142000</v>
      </c>
      <c r="T182" s="44">
        <v>1876120000</v>
      </c>
      <c r="U182" s="44">
        <v>625940800</v>
      </c>
      <c r="V182" s="29" t="e">
        <v>#N/A</v>
      </c>
      <c r="W182" s="29" t="e">
        <v>#N/A</v>
      </c>
      <c r="X182" s="29" t="e">
        <v>#N/A</v>
      </c>
      <c r="Y182" s="29" t="e">
        <v>#N/A</v>
      </c>
      <c r="Z182" s="29">
        <v>0.91937195359378232</v>
      </c>
      <c r="AA182" t="s">
        <v>77</v>
      </c>
      <c r="AB182" t="s">
        <v>90</v>
      </c>
      <c r="AC182" t="s">
        <v>155</v>
      </c>
    </row>
    <row r="183" spans="5:29" hidden="1" x14ac:dyDescent="0.25">
      <c r="E183" s="1" t="s">
        <v>417</v>
      </c>
      <c r="F183" s="1" t="s">
        <v>418</v>
      </c>
      <c r="G183" s="41">
        <v>5.5577776948085925E-2</v>
      </c>
      <c r="H183" s="41">
        <v>7.0272563958327844E-2</v>
      </c>
      <c r="I183" s="41">
        <v>5.5577776948085925E-2</v>
      </c>
      <c r="J183" s="41">
        <v>7.0272563958327844E-2</v>
      </c>
      <c r="K183" s="42">
        <v>19.771104285244419</v>
      </c>
      <c r="L183" s="28">
        <v>85.977960979099237</v>
      </c>
      <c r="M183" s="28">
        <v>93.893428372739905</v>
      </c>
      <c r="N183" s="41">
        <v>0.75602740403140245</v>
      </c>
      <c r="O183" s="29">
        <v>9.0232492349728677</v>
      </c>
      <c r="P183" s="41">
        <v>0.23038129019558079</v>
      </c>
      <c r="Q183" s="43" t="e">
        <v>#N/A</v>
      </c>
      <c r="R183" s="29">
        <v>21.046094160906812</v>
      </c>
      <c r="S183" s="44">
        <v>3379427000</v>
      </c>
      <c r="T183" s="44">
        <v>3379427000</v>
      </c>
      <c r="U183" s="44">
        <v>891251072</v>
      </c>
      <c r="V183" s="29">
        <v>12.222815479250258</v>
      </c>
      <c r="W183" s="29">
        <v>12.229355038245936</v>
      </c>
      <c r="X183" s="29">
        <v>43.916581118008459</v>
      </c>
      <c r="Y183" s="29">
        <v>6.4320446865612473</v>
      </c>
      <c r="Z183" s="29">
        <v>1.1993821141647938</v>
      </c>
      <c r="AA183" t="s">
        <v>66</v>
      </c>
      <c r="AB183" t="s">
        <v>84</v>
      </c>
      <c r="AC183" t="s">
        <v>208</v>
      </c>
    </row>
    <row r="184" spans="5:29" hidden="1" x14ac:dyDescent="0.25">
      <c r="E184" s="1" t="s">
        <v>1022</v>
      </c>
      <c r="F184" s="1" t="s">
        <v>1023</v>
      </c>
      <c r="G184" s="41" t="e">
        <v>#N/A</v>
      </c>
      <c r="H184" s="41">
        <v>6.7517658038595676E-2</v>
      </c>
      <c r="I184" s="41" t="e">
        <v>#N/A</v>
      </c>
      <c r="J184" s="41">
        <v>6.7517658038595676E-2</v>
      </c>
      <c r="K184" s="42">
        <v>17.548764489558916</v>
      </c>
      <c r="L184" s="28" t="e">
        <v>#N/A</v>
      </c>
      <c r="M184" s="28">
        <v>75.497403523062829</v>
      </c>
      <c r="N184" s="41">
        <v>0.76628162905329467</v>
      </c>
      <c r="O184" s="29">
        <v>9.8650470744945977</v>
      </c>
      <c r="P184" s="41">
        <v>0.16736924124057612</v>
      </c>
      <c r="Q184" s="43" t="e">
        <v>#N/A</v>
      </c>
      <c r="R184" s="29" t="e">
        <v>#N/A</v>
      </c>
      <c r="S184" s="44">
        <v>1029701000</v>
      </c>
      <c r="T184" s="44">
        <v>1029701000</v>
      </c>
      <c r="U184" s="44">
        <v>275853984</v>
      </c>
      <c r="V184" s="29">
        <v>12.364698061745067</v>
      </c>
      <c r="W184" s="29">
        <v>12.921327841065123</v>
      </c>
      <c r="X184" s="29" t="e">
        <v>#N/A</v>
      </c>
      <c r="Y184" s="29">
        <v>7.0803242267784716</v>
      </c>
      <c r="Z184" s="29">
        <v>1.1564327100882024</v>
      </c>
      <c r="AA184" t="s">
        <v>66</v>
      </c>
      <c r="AB184" t="s">
        <v>84</v>
      </c>
      <c r="AC184" t="s">
        <v>182</v>
      </c>
    </row>
    <row r="185" spans="5:29" hidden="1" x14ac:dyDescent="0.25">
      <c r="E185" s="1" t="s">
        <v>575</v>
      </c>
      <c r="F185" s="1" t="s">
        <v>576</v>
      </c>
      <c r="G185" s="41">
        <v>0.13705969012645092</v>
      </c>
      <c r="H185" s="41">
        <v>6.6980696132715428E-2</v>
      </c>
      <c r="I185" s="41">
        <v>0.13705969012645092</v>
      </c>
      <c r="J185" s="41">
        <v>6.6980696132715428E-2</v>
      </c>
      <c r="K185" s="42">
        <v>20.083332476607719</v>
      </c>
      <c r="L185" s="28">
        <v>24.043523791637273</v>
      </c>
      <c r="M185" s="28">
        <v>25.292495689537201</v>
      </c>
      <c r="N185" s="41">
        <v>0.43845228967448352</v>
      </c>
      <c r="O185" s="29">
        <v>4.8032735645137858</v>
      </c>
      <c r="P185" s="41">
        <v>0.37486136092933986</v>
      </c>
      <c r="Q185" s="43" t="e">
        <v>#N/A</v>
      </c>
      <c r="R185" s="29">
        <v>1.8349809565961372</v>
      </c>
      <c r="S185" s="44">
        <v>3163822000</v>
      </c>
      <c r="T185" s="44">
        <v>3163822000</v>
      </c>
      <c r="U185" s="44">
        <v>1818848000</v>
      </c>
      <c r="V185" s="29">
        <v>8.8068482476568661</v>
      </c>
      <c r="W185" s="29">
        <v>8.9984211733695574</v>
      </c>
      <c r="X185" s="29">
        <v>-39.292673164552511</v>
      </c>
      <c r="Y185" s="29">
        <v>14.51125668878238</v>
      </c>
      <c r="Z185" s="29">
        <v>0.98653646551072594</v>
      </c>
      <c r="AA185" t="s">
        <v>66</v>
      </c>
      <c r="AB185" t="s">
        <v>78</v>
      </c>
      <c r="AC185" t="s">
        <v>121</v>
      </c>
    </row>
    <row r="186" spans="5:29" hidden="1" x14ac:dyDescent="0.25">
      <c r="E186" s="1" t="s">
        <v>611</v>
      </c>
      <c r="F186" s="1" t="s">
        <v>612</v>
      </c>
      <c r="G186" s="41">
        <v>0.10624499057298471</v>
      </c>
      <c r="H186" s="41">
        <v>6.506625606569616E-2</v>
      </c>
      <c r="I186" s="41">
        <v>0.10624499057298471</v>
      </c>
      <c r="J186" s="41">
        <v>6.506625606569616E-2</v>
      </c>
      <c r="K186" s="42">
        <v>9.4466701205968793</v>
      </c>
      <c r="L186" s="28">
        <v>16.894041086286332</v>
      </c>
      <c r="M186" s="28">
        <v>15.499332154221316</v>
      </c>
      <c r="N186" s="41">
        <v>0.24207732430684456</v>
      </c>
      <c r="O186" s="29">
        <v>1.591704865521621</v>
      </c>
      <c r="P186" s="41">
        <v>0.40573422814282234</v>
      </c>
      <c r="Q186" s="43" t="e">
        <v>#N/A</v>
      </c>
      <c r="R186" s="29">
        <v>5.777109511895504</v>
      </c>
      <c r="S186" s="44">
        <v>171456000</v>
      </c>
      <c r="T186" s="44">
        <v>171456000</v>
      </c>
      <c r="U186" s="44">
        <v>257215904</v>
      </c>
      <c r="V186" s="29">
        <v>3.3397050864306617</v>
      </c>
      <c r="W186" s="29">
        <v>6.9994837664216671</v>
      </c>
      <c r="X186" s="29">
        <v>27.346652748219331</v>
      </c>
      <c r="Y186" s="29">
        <v>7.0857261505301388</v>
      </c>
      <c r="Z186" s="29">
        <v>0.63599052392174071</v>
      </c>
      <c r="AA186" t="s">
        <v>76</v>
      </c>
      <c r="AB186" t="s">
        <v>162</v>
      </c>
      <c r="AC186" t="s">
        <v>163</v>
      </c>
    </row>
    <row r="187" spans="5:29" hidden="1" x14ac:dyDescent="0.25">
      <c r="E187" s="1" t="s">
        <v>439</v>
      </c>
      <c r="F187" s="1" t="s">
        <v>440</v>
      </c>
      <c r="G187" s="41">
        <v>5.0952717373411595E-2</v>
      </c>
      <c r="H187" s="41">
        <v>6.4968253779642021E-2</v>
      </c>
      <c r="I187" s="41">
        <v>5.050681450951975E-2</v>
      </c>
      <c r="J187" s="41">
        <v>6.4482954234974021E-2</v>
      </c>
      <c r="K187" s="42">
        <v>10.333249077767887</v>
      </c>
      <c r="L187" s="28">
        <v>12.866465457336432</v>
      </c>
      <c r="M187" s="28">
        <v>17.232996344059433</v>
      </c>
      <c r="N187" s="41">
        <v>0.32843880250283358</v>
      </c>
      <c r="O187" s="29">
        <v>6.2713948084447173</v>
      </c>
      <c r="P187" s="41">
        <v>0.36187814485127712</v>
      </c>
      <c r="Q187" s="43" t="e">
        <v>#N/A</v>
      </c>
      <c r="R187" s="29">
        <v>-0.63179410262045521</v>
      </c>
      <c r="S187" s="44">
        <v>2524710000</v>
      </c>
      <c r="T187" s="44">
        <v>2543711000</v>
      </c>
      <c r="U187" s="44">
        <v>2249285120</v>
      </c>
      <c r="V187" s="29">
        <v>17.439420865524021</v>
      </c>
      <c r="W187" s="29">
        <v>17.718387554039943</v>
      </c>
      <c r="X187" s="29">
        <v>19.818963635877342</v>
      </c>
      <c r="Y187" s="29">
        <v>37.080875854014387</v>
      </c>
      <c r="Z187" s="29">
        <v>1.6197498747164756</v>
      </c>
      <c r="AA187" t="s">
        <v>66</v>
      </c>
      <c r="AB187" t="s">
        <v>78</v>
      </c>
      <c r="AC187" t="s">
        <v>121</v>
      </c>
    </row>
    <row r="188" spans="5:29" hidden="1" x14ac:dyDescent="0.25">
      <c r="E188" s="1" t="s">
        <v>631</v>
      </c>
      <c r="F188" s="1" t="s">
        <v>632</v>
      </c>
      <c r="G188" s="41">
        <v>4.8882066813482922E-2</v>
      </c>
      <c r="H188" s="41">
        <v>6.3625231819696634E-2</v>
      </c>
      <c r="I188" s="41">
        <v>4.8882066813482922E-2</v>
      </c>
      <c r="J188" s="41">
        <v>6.3625231819696634E-2</v>
      </c>
      <c r="K188" s="42">
        <v>16.515557633816382</v>
      </c>
      <c r="L188" s="28">
        <v>74.670034361685552</v>
      </c>
      <c r="M188" s="28">
        <v>80.794769212396261</v>
      </c>
      <c r="N188" s="41">
        <v>0.44143981850416492</v>
      </c>
      <c r="O188" s="29">
        <v>5.6962328044454713</v>
      </c>
      <c r="P188" s="41">
        <v>0.31308420918744795</v>
      </c>
      <c r="Q188" s="43" t="e">
        <v>#N/A</v>
      </c>
      <c r="R188" s="29">
        <v>33.479648746985966</v>
      </c>
      <c r="S188" s="44">
        <v>4717028000</v>
      </c>
      <c r="T188" s="44">
        <v>4717028000</v>
      </c>
      <c r="U188" s="44">
        <v>6300730880</v>
      </c>
      <c r="V188" s="29">
        <v>16.249995612139969</v>
      </c>
      <c r="W188" s="29">
        <v>21.161448143802424</v>
      </c>
      <c r="X188" s="29">
        <v>-14.085984894501635</v>
      </c>
      <c r="Y188" s="29">
        <v>17.821054280542789</v>
      </c>
      <c r="Z188" s="29">
        <v>2.6104302143880886</v>
      </c>
      <c r="AA188" t="s">
        <v>69</v>
      </c>
      <c r="AB188" t="s">
        <v>70</v>
      </c>
      <c r="AC188" t="s">
        <v>70</v>
      </c>
    </row>
    <row r="189" spans="5:29" hidden="1" x14ac:dyDescent="0.25">
      <c r="E189" s="1" t="s">
        <v>647</v>
      </c>
      <c r="F189" s="1" t="s">
        <v>648</v>
      </c>
      <c r="G189" s="41">
        <v>8.9918580369191162E-2</v>
      </c>
      <c r="H189" s="41">
        <v>6.3273158815927169E-2</v>
      </c>
      <c r="I189" s="41">
        <v>8.1529134711616977E-2</v>
      </c>
      <c r="J189" s="41">
        <v>5.890290561147362E-2</v>
      </c>
      <c r="K189" s="42">
        <v>4.9691811439703342</v>
      </c>
      <c r="L189" s="28" t="e">
        <v>#N/A</v>
      </c>
      <c r="M189" s="28" t="e">
        <v>#N/A</v>
      </c>
      <c r="N189" s="41">
        <v>2.427054337655897E-2</v>
      </c>
      <c r="O189" s="29" t="e">
        <v>#N/A</v>
      </c>
      <c r="P189" s="41">
        <v>4.0696069944074043E-2</v>
      </c>
      <c r="Q189" s="43" t="e">
        <v>#N/A</v>
      </c>
      <c r="R189" s="29">
        <v>20.098065429154342</v>
      </c>
      <c r="S189" s="44">
        <v>11321736000</v>
      </c>
      <c r="T189" s="44">
        <v>12161743000</v>
      </c>
      <c r="U189" s="44">
        <v>4911212544</v>
      </c>
      <c r="V189" s="29" t="e">
        <v>#N/A</v>
      </c>
      <c r="W189" s="29">
        <v>12.163697442327543</v>
      </c>
      <c r="X189" s="29">
        <v>37.521120975537229</v>
      </c>
      <c r="Y189" s="29">
        <v>49.11350618314939</v>
      </c>
      <c r="Z189" s="29">
        <v>0.60574815934000203</v>
      </c>
      <c r="AA189" t="s">
        <v>66</v>
      </c>
      <c r="AB189" t="s">
        <v>72</v>
      </c>
      <c r="AC189" t="s">
        <v>109</v>
      </c>
    </row>
    <row r="190" spans="5:29" hidden="1" x14ac:dyDescent="0.25">
      <c r="E190" s="1" t="s">
        <v>407</v>
      </c>
      <c r="F190" s="1" t="s">
        <v>408</v>
      </c>
      <c r="G190" s="41">
        <v>5.6272901195408398E-2</v>
      </c>
      <c r="H190" s="41">
        <v>6.3240176567608011E-2</v>
      </c>
      <c r="I190" s="41">
        <v>5.6272901195408398E-2</v>
      </c>
      <c r="J190" s="41">
        <v>6.3240176567608011E-2</v>
      </c>
      <c r="K190" s="42">
        <v>15.380334577505957</v>
      </c>
      <c r="L190" s="28">
        <v>38.60691240080736</v>
      </c>
      <c r="M190" s="28">
        <v>44.751785913606426</v>
      </c>
      <c r="N190" s="41">
        <v>5.5787722643729457E-2</v>
      </c>
      <c r="O190" s="29">
        <v>0.38321330628079642</v>
      </c>
      <c r="P190" s="41">
        <v>0.77022355661946684</v>
      </c>
      <c r="Q190" s="43" t="e">
        <v>#N/A</v>
      </c>
      <c r="R190" s="29">
        <v>4.1452244960494582</v>
      </c>
      <c r="S190" s="44">
        <v>981607000</v>
      </c>
      <c r="T190" s="44">
        <v>981607000</v>
      </c>
      <c r="U190" s="44">
        <v>908656384</v>
      </c>
      <c r="V190" s="29">
        <v>5.4480746471650576</v>
      </c>
      <c r="W190" s="29">
        <v>5.5132549877878869</v>
      </c>
      <c r="X190" s="29">
        <v>4.3799835340176294</v>
      </c>
      <c r="Y190" s="29">
        <v>22.017593421277109</v>
      </c>
      <c r="Z190" s="29">
        <v>0.95730168512987468</v>
      </c>
      <c r="AA190" t="s">
        <v>66</v>
      </c>
      <c r="AB190" t="s">
        <v>78</v>
      </c>
      <c r="AC190" t="s">
        <v>121</v>
      </c>
    </row>
    <row r="191" spans="5:29" hidden="1" x14ac:dyDescent="0.25">
      <c r="E191" s="1" t="s">
        <v>645</v>
      </c>
      <c r="F191" s="1" t="s">
        <v>646</v>
      </c>
      <c r="G191" s="41">
        <v>6.7767677204805407E-2</v>
      </c>
      <c r="H191" s="41">
        <v>6.2283611031224193E-2</v>
      </c>
      <c r="I191" s="41">
        <v>6.5893427957124245E-2</v>
      </c>
      <c r="J191" s="41">
        <v>6.043876479528338E-2</v>
      </c>
      <c r="K191" s="42">
        <v>10.601609846701587</v>
      </c>
      <c r="L191" s="28">
        <v>19.602993791081296</v>
      </c>
      <c r="M191" s="28">
        <v>19.351267790772727</v>
      </c>
      <c r="N191" s="41">
        <v>0.32851775966718422</v>
      </c>
      <c r="O191" s="29">
        <v>3.6363576740549295</v>
      </c>
      <c r="P191" s="41">
        <v>0.46293124483650222</v>
      </c>
      <c r="Q191" s="43" t="e">
        <v>#N/A</v>
      </c>
      <c r="R191" s="29">
        <v>5.5678087347159293</v>
      </c>
      <c r="S191" s="44">
        <v>8101730000</v>
      </c>
      <c r="T191" s="44">
        <v>8349029000</v>
      </c>
      <c r="U191" s="44">
        <v>2657845504</v>
      </c>
      <c r="V191" s="29">
        <v>8.6143522407147994</v>
      </c>
      <c r="W191" s="29">
        <v>9.8191868668167288</v>
      </c>
      <c r="X191" s="29">
        <v>5.835854633633363</v>
      </c>
      <c r="Y191" s="29" t="e">
        <v>#N/A</v>
      </c>
      <c r="Z191" s="29">
        <v>0.95733100853591346</v>
      </c>
      <c r="AA191" t="s">
        <v>145</v>
      </c>
      <c r="AB191" t="s">
        <v>146</v>
      </c>
      <c r="AC191" t="s">
        <v>147</v>
      </c>
    </row>
    <row r="192" spans="5:29" hidden="1" x14ac:dyDescent="0.25">
      <c r="E192" s="1" t="s">
        <v>960</v>
      </c>
      <c r="F192" s="1" t="s">
        <v>961</v>
      </c>
      <c r="G192" s="41">
        <v>0.1057934561185</v>
      </c>
      <c r="H192" s="41">
        <v>6.0993212189956493E-2</v>
      </c>
      <c r="I192" s="41">
        <v>8.9866853715384817E-2</v>
      </c>
      <c r="J192" s="41">
        <v>5.6113887100034315E-2</v>
      </c>
      <c r="K192" s="42">
        <v>10.729814398191062</v>
      </c>
      <c r="L192" s="28">
        <v>7.6811920753023868</v>
      </c>
      <c r="M192" s="28">
        <v>5.9034319548965319</v>
      </c>
      <c r="N192" s="41">
        <v>0.5033083678652851</v>
      </c>
      <c r="O192" s="29">
        <v>4.9482182466268254</v>
      </c>
      <c r="P192" s="41">
        <v>0.29885529731985566</v>
      </c>
      <c r="Q192" s="43" t="e">
        <v>#N/A</v>
      </c>
      <c r="R192" s="29">
        <v>41.489461707700016</v>
      </c>
      <c r="S192" s="44">
        <v>782874000</v>
      </c>
      <c r="T192" s="44">
        <v>850948000</v>
      </c>
      <c r="U192" s="44">
        <v>301882336</v>
      </c>
      <c r="V192" s="29">
        <v>7.8695705775806122</v>
      </c>
      <c r="W192" s="29">
        <v>16.332214368994492</v>
      </c>
      <c r="X192" s="29">
        <v>-4.0731101272516987</v>
      </c>
      <c r="Y192" s="29">
        <v>10.49266688518872</v>
      </c>
      <c r="Z192" s="29">
        <v>0.92398709611126795</v>
      </c>
      <c r="AA192" t="s">
        <v>73</v>
      </c>
      <c r="AB192" t="s">
        <v>127</v>
      </c>
      <c r="AC192" t="s">
        <v>128</v>
      </c>
    </row>
    <row r="193" spans="5:29" hidden="1" x14ac:dyDescent="0.25">
      <c r="E193" s="1" t="s">
        <v>304</v>
      </c>
      <c r="F193" s="1" t="s">
        <v>305</v>
      </c>
      <c r="G193" s="41">
        <v>5.7749708243645101E-2</v>
      </c>
      <c r="H193" s="41">
        <v>6.048334550239988E-2</v>
      </c>
      <c r="I193" s="41">
        <v>5.7749708243645101E-2</v>
      </c>
      <c r="J193" s="41">
        <v>6.048334550239988E-2</v>
      </c>
      <c r="K193" s="42">
        <v>13.660037048211793</v>
      </c>
      <c r="L193" s="28">
        <v>21.830583171966346</v>
      </c>
      <c r="M193" s="28">
        <v>23.649334851122717</v>
      </c>
      <c r="N193" s="41">
        <v>0.29764221637849181</v>
      </c>
      <c r="O193" s="29">
        <v>3.1029321503101719</v>
      </c>
      <c r="P193" s="41">
        <v>0.45185426163755343</v>
      </c>
      <c r="Q193" s="43" t="e">
        <v>#N/A</v>
      </c>
      <c r="R193" s="29">
        <v>14.154862574228769</v>
      </c>
      <c r="S193" s="44">
        <v>2647423000</v>
      </c>
      <c r="T193" s="44">
        <v>2647423000</v>
      </c>
      <c r="U193" s="44">
        <v>992852224</v>
      </c>
      <c r="V193" s="29">
        <v>7.2004922335557211</v>
      </c>
      <c r="W193" s="29">
        <v>7.3911099441766419</v>
      </c>
      <c r="X193" s="29">
        <v>-33.488870948029422</v>
      </c>
      <c r="Y193" s="29">
        <v>420.15582120598032</v>
      </c>
      <c r="Z193" s="29">
        <v>0.82791767491199419</v>
      </c>
      <c r="AA193" t="s">
        <v>66</v>
      </c>
      <c r="AB193" t="s">
        <v>78</v>
      </c>
      <c r="AC193" t="s">
        <v>121</v>
      </c>
    </row>
    <row r="194" spans="5:29" hidden="1" x14ac:dyDescent="0.25">
      <c r="E194" s="1" t="s">
        <v>318</v>
      </c>
      <c r="F194" s="1" t="s">
        <v>319</v>
      </c>
      <c r="G194" s="41">
        <v>3.166842449293665E-2</v>
      </c>
      <c r="H194" s="41">
        <v>6.0335922855558784E-2</v>
      </c>
      <c r="I194" s="41">
        <v>3.166842449293665E-2</v>
      </c>
      <c r="J194" s="41">
        <v>6.0335922855558784E-2</v>
      </c>
      <c r="K194" s="42">
        <v>-6.506935751627231</v>
      </c>
      <c r="L194" s="28">
        <v>28.433328440435339</v>
      </c>
      <c r="M194" s="28">
        <v>31.254724707068167</v>
      </c>
      <c r="N194" s="41">
        <v>0.59156301035536563</v>
      </c>
      <c r="O194" s="29">
        <v>82.214291792175075</v>
      </c>
      <c r="P194" s="41">
        <v>0.34208780735814193</v>
      </c>
      <c r="Q194" s="43" t="e">
        <v>#N/A</v>
      </c>
      <c r="R194" s="29">
        <v>49.422898060794736</v>
      </c>
      <c r="S194" s="44">
        <v>7272384000</v>
      </c>
      <c r="T194" s="44">
        <v>7272384000</v>
      </c>
      <c r="U194" s="44">
        <v>2704195072</v>
      </c>
      <c r="V194" s="29">
        <v>142.27149081874032</v>
      </c>
      <c r="W194" s="29">
        <v>437.55967088872603</v>
      </c>
      <c r="X194" s="29">
        <v>-28.717491871828987</v>
      </c>
      <c r="Y194" s="29">
        <v>23.31935198368415</v>
      </c>
      <c r="Z194" s="29">
        <v>1.3970171389519974</v>
      </c>
      <c r="AA194" t="s">
        <v>66</v>
      </c>
      <c r="AB194" t="s">
        <v>78</v>
      </c>
      <c r="AC194" t="s">
        <v>121</v>
      </c>
    </row>
    <row r="195" spans="5:29" hidden="1" x14ac:dyDescent="0.25">
      <c r="E195" s="1" t="s">
        <v>366</v>
      </c>
      <c r="F195" s="1" t="s">
        <v>367</v>
      </c>
      <c r="G195" s="41">
        <v>0.11808985752320167</v>
      </c>
      <c r="H195" s="41">
        <v>5.8291261480375924E-2</v>
      </c>
      <c r="I195" s="41">
        <v>0.11335954143842999</v>
      </c>
      <c r="J195" s="41">
        <v>5.7775546980930174E-2</v>
      </c>
      <c r="K195" s="42" t="e">
        <v>#N/A</v>
      </c>
      <c r="L195" s="28">
        <v>7.2172920370440803</v>
      </c>
      <c r="M195" s="28">
        <v>9.2685735245900922</v>
      </c>
      <c r="N195" s="41">
        <v>0.54606005718847106</v>
      </c>
      <c r="O195" s="29" t="e">
        <v>#N/A</v>
      </c>
      <c r="P195" s="41">
        <v>0.19647489413653629</v>
      </c>
      <c r="Q195" s="43" t="e">
        <v>#N/A</v>
      </c>
      <c r="R195" s="29" t="e">
        <v>#N/A</v>
      </c>
      <c r="S195" s="44">
        <v>1421774000</v>
      </c>
      <c r="T195" s="44">
        <v>1434465000</v>
      </c>
      <c r="U195" s="44">
        <v>473211392</v>
      </c>
      <c r="V195" s="29" t="e">
        <v>#N/A</v>
      </c>
      <c r="W195" s="29" t="e">
        <v>#N/A</v>
      </c>
      <c r="X195" s="29" t="e">
        <v>#N/A</v>
      </c>
      <c r="Y195" s="29" t="e">
        <v>#N/A</v>
      </c>
      <c r="Z195" s="29">
        <v>1.2403584877955807</v>
      </c>
      <c r="AA195" t="s">
        <v>73</v>
      </c>
      <c r="AB195" t="s">
        <v>169</v>
      </c>
      <c r="AC195" t="s">
        <v>187</v>
      </c>
    </row>
    <row r="196" spans="5:29" hidden="1" x14ac:dyDescent="0.25">
      <c r="E196" s="1" t="s">
        <v>320</v>
      </c>
      <c r="F196" s="1" t="s">
        <v>321</v>
      </c>
      <c r="G196" s="41">
        <v>5.9167835558132778E-2</v>
      </c>
      <c r="H196" s="41">
        <v>5.8067065230259264E-2</v>
      </c>
      <c r="I196" s="41">
        <v>5.9167835558132778E-2</v>
      </c>
      <c r="J196" s="41">
        <v>5.8067065230259264E-2</v>
      </c>
      <c r="K196" s="42">
        <v>7.6388380198988193</v>
      </c>
      <c r="L196" s="28">
        <v>15.031088255923652</v>
      </c>
      <c r="M196" s="28">
        <v>18.015297177466095</v>
      </c>
      <c r="N196" s="41">
        <v>0.22775920358488586</v>
      </c>
      <c r="O196" s="29">
        <v>4.5494769681974461</v>
      </c>
      <c r="P196" s="41">
        <v>0.29305347934394083</v>
      </c>
      <c r="Q196" s="43" t="e">
        <v>#N/A</v>
      </c>
      <c r="R196" s="29">
        <v>13.822543203123043</v>
      </c>
      <c r="S196" s="44">
        <v>3378800000</v>
      </c>
      <c r="T196" s="44">
        <v>3378800000</v>
      </c>
      <c r="U196" s="44">
        <v>2457939200</v>
      </c>
      <c r="V196" s="29">
        <v>11.729484621608911</v>
      </c>
      <c r="W196" s="29">
        <v>11.826283469158746</v>
      </c>
      <c r="X196" s="29">
        <v>-34.537794913722848</v>
      </c>
      <c r="Y196" s="29">
        <v>38.547662094246043</v>
      </c>
      <c r="Z196" s="29">
        <v>1.2220110636594819</v>
      </c>
      <c r="AA196" t="s">
        <v>66</v>
      </c>
      <c r="AB196" t="s">
        <v>78</v>
      </c>
      <c r="AC196" t="s">
        <v>121</v>
      </c>
    </row>
    <row r="197" spans="5:29" hidden="1" x14ac:dyDescent="0.25">
      <c r="E197" s="1" t="s">
        <v>541</v>
      </c>
      <c r="F197" s="1" t="s">
        <v>542</v>
      </c>
      <c r="G197" s="41">
        <v>2.3984317399264182E-2</v>
      </c>
      <c r="H197" s="41">
        <v>5.7555064383817724E-2</v>
      </c>
      <c r="I197" s="41">
        <v>2.3984317399264182E-2</v>
      </c>
      <c r="J197" s="41">
        <v>5.7555064383817724E-2</v>
      </c>
      <c r="K197" s="42" t="e">
        <v>#N/A</v>
      </c>
      <c r="L197" s="28">
        <v>7.0932887607142785</v>
      </c>
      <c r="M197" s="28">
        <v>10.198085794301818</v>
      </c>
      <c r="N197" s="41" t="e">
        <v>#N/A</v>
      </c>
      <c r="O197" s="29" t="e">
        <v>#N/A</v>
      </c>
      <c r="P197" s="41">
        <v>0.59455832021124178</v>
      </c>
      <c r="Q197" s="43" t="e">
        <v>#N/A</v>
      </c>
      <c r="R197" s="29" t="e">
        <v>#N/A</v>
      </c>
      <c r="S197" s="44">
        <v>363756000</v>
      </c>
      <c r="T197" s="44">
        <v>363756000</v>
      </c>
      <c r="U197" s="44">
        <v>433260608</v>
      </c>
      <c r="V197" s="29" t="e">
        <v>#N/A</v>
      </c>
      <c r="W197" s="29" t="e">
        <v>#N/A</v>
      </c>
      <c r="X197" s="29" t="e">
        <v>#N/A</v>
      </c>
      <c r="Y197" s="29" t="e">
        <v>#N/A</v>
      </c>
      <c r="Z197" s="29">
        <v>1.1193111244562832</v>
      </c>
      <c r="AA197" t="s">
        <v>76</v>
      </c>
      <c r="AB197" t="s">
        <v>162</v>
      </c>
      <c r="AC197" t="s">
        <v>163</v>
      </c>
    </row>
    <row r="198" spans="5:29" hidden="1" x14ac:dyDescent="0.25">
      <c r="E198" s="1" t="s">
        <v>264</v>
      </c>
      <c r="F198" s="1" t="s">
        <v>265</v>
      </c>
      <c r="G198" s="41">
        <v>2.7408762312214431E-2</v>
      </c>
      <c r="H198" s="41">
        <v>5.662939604789035E-2</v>
      </c>
      <c r="I198" s="41">
        <v>2.7081749322352335E-2</v>
      </c>
      <c r="J198" s="41">
        <v>5.5828899454401587E-2</v>
      </c>
      <c r="K198" s="42">
        <v>16.75334858192717</v>
      </c>
      <c r="L198" s="28">
        <v>2.1598025376194068</v>
      </c>
      <c r="M198" s="28">
        <v>9.4423911369077</v>
      </c>
      <c r="N198" s="41">
        <v>0.35284060237049153</v>
      </c>
      <c r="O198" s="29">
        <v>11.893604701302221</v>
      </c>
      <c r="P198" s="41">
        <v>0.25860810511766608</v>
      </c>
      <c r="Q198" s="43" t="e">
        <v>#N/A</v>
      </c>
      <c r="R198" s="29">
        <v>34.691083315959432</v>
      </c>
      <c r="S198" s="44">
        <v>1427845000</v>
      </c>
      <c r="T198" s="44">
        <v>1448318000</v>
      </c>
      <c r="U198" s="44">
        <v>2030049920</v>
      </c>
      <c r="V198" s="29">
        <v>37.113207258928902</v>
      </c>
      <c r="W198" s="29">
        <v>38.882761148757666</v>
      </c>
      <c r="X198" s="29">
        <v>-13.948622504810128</v>
      </c>
      <c r="Y198" s="29">
        <v>21.249767332787776</v>
      </c>
      <c r="Z198" s="29">
        <v>2.8572742325681548</v>
      </c>
      <c r="AA198" t="s">
        <v>66</v>
      </c>
      <c r="AB198" t="s">
        <v>78</v>
      </c>
      <c r="AC198" t="s">
        <v>121</v>
      </c>
    </row>
    <row r="199" spans="5:29" hidden="1" x14ac:dyDescent="0.25">
      <c r="E199" s="1" t="s">
        <v>334</v>
      </c>
      <c r="F199" s="1" t="s">
        <v>335</v>
      </c>
      <c r="G199" s="41">
        <v>7.2642767302631195E-2</v>
      </c>
      <c r="H199" s="41">
        <v>5.5503636949900882E-2</v>
      </c>
      <c r="I199" s="41">
        <v>7.2437194214720141E-2</v>
      </c>
      <c r="J199" s="41">
        <v>5.5388542458949516E-2</v>
      </c>
      <c r="K199" s="42">
        <v>15.006355782190283</v>
      </c>
      <c r="L199" s="28">
        <v>58.568415018365329</v>
      </c>
      <c r="M199" s="28">
        <v>72.517720131530879</v>
      </c>
      <c r="N199" s="41">
        <v>0.1084924620772305</v>
      </c>
      <c r="O199" s="29">
        <v>0.82903720068415065</v>
      </c>
      <c r="P199" s="41">
        <v>0.71023594552220304</v>
      </c>
      <c r="Q199" s="43" t="e">
        <v>#N/A</v>
      </c>
      <c r="R199" s="29">
        <v>-2.8257512509278491</v>
      </c>
      <c r="S199" s="44">
        <v>3231554000</v>
      </c>
      <c r="T199" s="44">
        <v>3238269000</v>
      </c>
      <c r="U199" s="44">
        <v>2802927104</v>
      </c>
      <c r="V199" s="29">
        <v>5.859934620866591</v>
      </c>
      <c r="W199" s="29">
        <v>6.0903970328178785</v>
      </c>
      <c r="X199" s="29">
        <v>-5.4184070567965792</v>
      </c>
      <c r="Y199" s="29">
        <v>17.790741297936872</v>
      </c>
      <c r="Z199" s="29">
        <v>0.9355399977954828</v>
      </c>
      <c r="AA199" t="s">
        <v>66</v>
      </c>
      <c r="AB199" t="s">
        <v>78</v>
      </c>
      <c r="AC199" t="s">
        <v>123</v>
      </c>
    </row>
    <row r="200" spans="5:29" hidden="1" x14ac:dyDescent="0.25">
      <c r="E200" s="1" t="s">
        <v>565</v>
      </c>
      <c r="F200" s="1" t="s">
        <v>566</v>
      </c>
      <c r="G200" s="41">
        <v>5.2012113031147979E-2</v>
      </c>
      <c r="H200" s="41">
        <v>5.5230076317060124E-2</v>
      </c>
      <c r="I200" s="41">
        <v>5.2012113031147979E-2</v>
      </c>
      <c r="J200" s="41">
        <v>5.5230076317060124E-2</v>
      </c>
      <c r="K200" s="42">
        <v>50.613805062093896</v>
      </c>
      <c r="L200" s="28">
        <v>51.375467060289395</v>
      </c>
      <c r="M200" s="28">
        <v>74.283169004514619</v>
      </c>
      <c r="N200" s="41">
        <v>0.25872613368649028</v>
      </c>
      <c r="O200" s="29">
        <v>2.0171587605370425</v>
      </c>
      <c r="P200" s="41">
        <v>0.36092597806386151</v>
      </c>
      <c r="Q200" s="43" t="e">
        <v>#N/A</v>
      </c>
      <c r="R200" s="29">
        <v>-3.8016757377047723</v>
      </c>
      <c r="S200" s="44">
        <v>884337000</v>
      </c>
      <c r="T200" s="44">
        <v>884337000</v>
      </c>
      <c r="U200" s="44">
        <v>706732416</v>
      </c>
      <c r="V200" s="29">
        <v>4.5080513082733127</v>
      </c>
      <c r="W200" s="29">
        <v>4.5134748104890168</v>
      </c>
      <c r="X200" s="29">
        <v>-16.511482614659069</v>
      </c>
      <c r="Y200" s="29">
        <v>9.8608021300190245</v>
      </c>
      <c r="Z200" s="29">
        <v>0.85754822162565392</v>
      </c>
      <c r="AA200" t="s">
        <v>77</v>
      </c>
      <c r="AB200" t="s">
        <v>83</v>
      </c>
      <c r="AC200" t="s">
        <v>215</v>
      </c>
    </row>
    <row r="201" spans="5:29" hidden="1" x14ac:dyDescent="0.25">
      <c r="E201" s="1" t="s">
        <v>358</v>
      </c>
      <c r="F201" s="1" t="s">
        <v>359</v>
      </c>
      <c r="G201" s="41">
        <v>5.7783051555810608E-2</v>
      </c>
      <c r="H201" s="41">
        <v>5.4598342519990684E-2</v>
      </c>
      <c r="I201" s="41">
        <v>5.7783051555810608E-2</v>
      </c>
      <c r="J201" s="41">
        <v>5.4598342519990684E-2</v>
      </c>
      <c r="K201" s="42">
        <v>11.592250087523801</v>
      </c>
      <c r="L201" s="28">
        <v>63.399166780569864</v>
      </c>
      <c r="M201" s="28">
        <v>75.94394727973939</v>
      </c>
      <c r="N201" s="41">
        <v>0.32688826335786197</v>
      </c>
      <c r="O201" s="29">
        <v>3.8385143098679935</v>
      </c>
      <c r="P201" s="41">
        <v>0.50235858666106925</v>
      </c>
      <c r="Q201" s="43" t="e">
        <v>#N/A</v>
      </c>
      <c r="R201" s="29">
        <v>11.875263777045905</v>
      </c>
      <c r="S201" s="44">
        <v>7419456000</v>
      </c>
      <c r="T201" s="44">
        <v>7419456000</v>
      </c>
      <c r="U201" s="44">
        <v>3699605760</v>
      </c>
      <c r="V201" s="29">
        <v>9.0403497175368326</v>
      </c>
      <c r="W201" s="29">
        <v>9.0469068836837536</v>
      </c>
      <c r="X201" s="29">
        <v>4.6498738287184418</v>
      </c>
      <c r="Y201" s="29">
        <v>17.404046672971269</v>
      </c>
      <c r="Z201" s="29">
        <v>0.88921854743377082</v>
      </c>
      <c r="AA201" t="s">
        <v>66</v>
      </c>
      <c r="AB201" t="s">
        <v>78</v>
      </c>
      <c r="AC201" t="s">
        <v>121</v>
      </c>
    </row>
    <row r="202" spans="5:29" hidden="1" x14ac:dyDescent="0.25">
      <c r="E202" s="1" t="s">
        <v>581</v>
      </c>
      <c r="F202" s="1" t="s">
        <v>582</v>
      </c>
      <c r="G202" s="41">
        <v>1.7173004638410452E-2</v>
      </c>
      <c r="H202" s="41">
        <v>5.3574071333431998E-2</v>
      </c>
      <c r="I202" s="41">
        <v>1.455028828163799E-2</v>
      </c>
      <c r="J202" s="41">
        <v>4.0460489549569691E-2</v>
      </c>
      <c r="K202" s="42">
        <v>3.2364034554082002</v>
      </c>
      <c r="L202" s="28">
        <v>15.650353382532995</v>
      </c>
      <c r="M202" s="28">
        <v>72.465208747514907</v>
      </c>
      <c r="N202" s="41">
        <v>0.61481918660800516</v>
      </c>
      <c r="O202" s="29" t="e">
        <v>#N/A</v>
      </c>
      <c r="P202" s="41">
        <v>0.28703623251368493</v>
      </c>
      <c r="Q202" s="43" t="e">
        <v>#N/A</v>
      </c>
      <c r="R202" s="29">
        <v>54.913556597204568</v>
      </c>
      <c r="S202" s="44">
        <v>13514000000</v>
      </c>
      <c r="T202" s="44">
        <v>17894000000</v>
      </c>
      <c r="U202" s="44">
        <v>1161398144</v>
      </c>
      <c r="V202" s="29" t="e">
        <v>#N/A</v>
      </c>
      <c r="W202" s="29">
        <v>11.683046768273718</v>
      </c>
      <c r="X202" s="29">
        <v>-29.188956582317392</v>
      </c>
      <c r="Y202" s="29">
        <v>9.9050705545562003</v>
      </c>
      <c r="Z202" s="29">
        <v>0.28739307999048302</v>
      </c>
      <c r="AA202" t="s">
        <v>76</v>
      </c>
      <c r="AB202" t="s">
        <v>131</v>
      </c>
      <c r="AC202" t="s">
        <v>132</v>
      </c>
    </row>
    <row r="203" spans="5:29" hidden="1" x14ac:dyDescent="0.25">
      <c r="E203" s="1" t="s">
        <v>694</v>
      </c>
      <c r="F203" s="1" t="s">
        <v>695</v>
      </c>
      <c r="G203" s="41">
        <v>5.2430035469237045E-2</v>
      </c>
      <c r="H203" s="41">
        <v>5.1219745271399872E-2</v>
      </c>
      <c r="I203" s="41">
        <v>5.2362211283668914E-2</v>
      </c>
      <c r="J203" s="41">
        <v>5.1156238969451727E-2</v>
      </c>
      <c r="K203" s="42">
        <v>14.198399087712499</v>
      </c>
      <c r="L203" s="28">
        <v>13.386370387751171</v>
      </c>
      <c r="M203" s="28">
        <v>15.213200766246199</v>
      </c>
      <c r="N203" s="41">
        <v>0.54442295526541584</v>
      </c>
      <c r="O203" s="29">
        <v>9.9361397330589956</v>
      </c>
      <c r="P203" s="41">
        <v>0.2537960563579984</v>
      </c>
      <c r="Q203" s="43" t="e">
        <v>#N/A</v>
      </c>
      <c r="R203" s="29">
        <v>6.4507078111604557</v>
      </c>
      <c r="S203" s="44">
        <v>13666624000</v>
      </c>
      <c r="T203" s="44">
        <v>13683590000</v>
      </c>
      <c r="U203" s="44">
        <v>5010804224</v>
      </c>
      <c r="V203" s="29">
        <v>14.627897892637272</v>
      </c>
      <c r="W203" s="29">
        <v>15.784044527506566</v>
      </c>
      <c r="X203" s="29">
        <v>-38.187023768262875</v>
      </c>
      <c r="Y203" s="29">
        <v>13.212737744176382</v>
      </c>
      <c r="Z203" s="29">
        <v>1.0242085952879889</v>
      </c>
      <c r="AA203" t="s">
        <v>66</v>
      </c>
      <c r="AB203" t="s">
        <v>78</v>
      </c>
      <c r="AC203" t="s">
        <v>121</v>
      </c>
    </row>
    <row r="204" spans="5:29" hidden="1" x14ac:dyDescent="0.25">
      <c r="E204" s="1" t="s">
        <v>475</v>
      </c>
      <c r="F204" s="1" t="s">
        <v>476</v>
      </c>
      <c r="G204" s="41">
        <v>5.3422632830268699E-2</v>
      </c>
      <c r="H204" s="41">
        <v>5.0483954900678189E-2</v>
      </c>
      <c r="I204" s="41">
        <v>5.3422632830268699E-2</v>
      </c>
      <c r="J204" s="41">
        <v>5.0483954900678189E-2</v>
      </c>
      <c r="K204" s="42">
        <v>11.646255669507202</v>
      </c>
      <c r="L204" s="28">
        <v>84.163800406766995</v>
      </c>
      <c r="M204" s="28">
        <v>81.821117398637142</v>
      </c>
      <c r="N204" s="41">
        <v>0.41563553362027827</v>
      </c>
      <c r="O204" s="29">
        <v>5.9876255153469327</v>
      </c>
      <c r="P204" s="41">
        <v>0.43856920394899362</v>
      </c>
      <c r="Q204" s="43" t="e">
        <v>#N/A</v>
      </c>
      <c r="R204" s="29">
        <v>9.7565657134043224</v>
      </c>
      <c r="S204" s="44">
        <v>16599274000</v>
      </c>
      <c r="T204" s="44">
        <v>16599274000</v>
      </c>
      <c r="U204" s="44">
        <v>8504227840</v>
      </c>
      <c r="V204" s="29">
        <v>12.148910288246523</v>
      </c>
      <c r="W204" s="29">
        <v>10.622508127475301</v>
      </c>
      <c r="X204" s="29">
        <v>-0.15447610585183913</v>
      </c>
      <c r="Y204" s="29" t="e">
        <v>#N/A</v>
      </c>
      <c r="Z204" s="29">
        <v>0.98432092425416073</v>
      </c>
      <c r="AA204" t="s">
        <v>66</v>
      </c>
      <c r="AB204" t="s">
        <v>78</v>
      </c>
      <c r="AC204" t="s">
        <v>121</v>
      </c>
    </row>
    <row r="205" spans="5:29" hidden="1" x14ac:dyDescent="0.25">
      <c r="E205" s="1" t="s">
        <v>379</v>
      </c>
      <c r="F205" s="1" t="s">
        <v>380</v>
      </c>
      <c r="G205" s="41">
        <v>5.366242003611945E-2</v>
      </c>
      <c r="H205" s="41">
        <v>5.0109727100022206E-2</v>
      </c>
      <c r="I205" s="41">
        <v>5.366242003611945E-2</v>
      </c>
      <c r="J205" s="41">
        <v>5.0109727100022206E-2</v>
      </c>
      <c r="K205" s="42">
        <v>11.857809867060777</v>
      </c>
      <c r="L205" s="28">
        <v>77.004319927382141</v>
      </c>
      <c r="M205" s="28">
        <v>77.529337139232496</v>
      </c>
      <c r="N205" s="41">
        <v>0.54165331415979368</v>
      </c>
      <c r="O205" s="29">
        <v>6.7984133860784226</v>
      </c>
      <c r="P205" s="41">
        <v>0.42995663130916562</v>
      </c>
      <c r="Q205" s="43" t="e">
        <v>#N/A</v>
      </c>
      <c r="R205" s="29">
        <v>11.762618466800268</v>
      </c>
      <c r="S205" s="44">
        <v>5074863000</v>
      </c>
      <c r="T205" s="44">
        <v>5074863000</v>
      </c>
      <c r="U205" s="44">
        <v>1653869568</v>
      </c>
      <c r="V205" s="29">
        <v>10.713740871998466</v>
      </c>
      <c r="W205" s="29">
        <v>10.492883301646186</v>
      </c>
      <c r="X205" s="29">
        <v>-15.678926864443037</v>
      </c>
      <c r="Y205" s="29">
        <v>12.107618401700392</v>
      </c>
      <c r="Z205" s="29">
        <v>0.74092643588154194</v>
      </c>
      <c r="AA205" t="s">
        <v>66</v>
      </c>
      <c r="AB205" t="s">
        <v>176</v>
      </c>
      <c r="AC205" t="s">
        <v>236</v>
      </c>
    </row>
    <row r="206" spans="5:29" hidden="1" x14ac:dyDescent="0.25">
      <c r="E206" s="1" t="s">
        <v>599</v>
      </c>
      <c r="F206" s="1" t="s">
        <v>600</v>
      </c>
      <c r="G206" s="41">
        <v>0.11039128804675682</v>
      </c>
      <c r="H206" s="41">
        <v>4.9414108198115279E-2</v>
      </c>
      <c r="I206" s="41">
        <v>0.11039128804675682</v>
      </c>
      <c r="J206" s="41">
        <v>4.9414108198115279E-2</v>
      </c>
      <c r="K206" s="42">
        <v>17.756361078362406</v>
      </c>
      <c r="L206" s="28">
        <v>15.382940328864487</v>
      </c>
      <c r="M206" s="28">
        <v>17.081809052435261</v>
      </c>
      <c r="N206" s="41">
        <v>0.3556366558651351</v>
      </c>
      <c r="O206" s="29">
        <v>8.715969244418158</v>
      </c>
      <c r="P206" s="41">
        <v>0.26316561094817981</v>
      </c>
      <c r="Q206" s="43" t="e">
        <v>#N/A</v>
      </c>
      <c r="R206" s="29">
        <v>-11.248276572882869</v>
      </c>
      <c r="S206" s="44">
        <v>1098411000</v>
      </c>
      <c r="T206" s="44">
        <v>1098411000</v>
      </c>
      <c r="U206" s="44">
        <v>481341888</v>
      </c>
      <c r="V206" s="29">
        <v>15.833252816797279</v>
      </c>
      <c r="W206" s="29">
        <v>16.514541764342997</v>
      </c>
      <c r="X206" s="29">
        <v>15.465306854823323</v>
      </c>
      <c r="Y206" s="29">
        <v>10.411999402590196</v>
      </c>
      <c r="Z206" s="29">
        <v>1.1205936284938742</v>
      </c>
      <c r="AA206" t="s">
        <v>66</v>
      </c>
      <c r="AB206" t="s">
        <v>78</v>
      </c>
      <c r="AC206" t="s">
        <v>121</v>
      </c>
    </row>
    <row r="207" spans="5:29" hidden="1" x14ac:dyDescent="0.25">
      <c r="E207" s="1" t="s">
        <v>517</v>
      </c>
      <c r="F207" s="1" t="s">
        <v>518</v>
      </c>
      <c r="G207" s="41">
        <v>6.077037610770876E-2</v>
      </c>
      <c r="H207" s="41">
        <v>4.922536823628177E-2</v>
      </c>
      <c r="I207" s="41">
        <v>5.9756253635936785E-2</v>
      </c>
      <c r="J207" s="41">
        <v>4.8456164074825329E-2</v>
      </c>
      <c r="K207" s="42">
        <v>-9.9094381375950125</v>
      </c>
      <c r="L207" s="28">
        <v>12.741670800279854</v>
      </c>
      <c r="M207" s="28">
        <v>11.979642437687589</v>
      </c>
      <c r="N207" s="41">
        <v>0.42695237737831648</v>
      </c>
      <c r="O207" s="29">
        <v>54.880225367331384</v>
      </c>
      <c r="P207" s="41">
        <v>0.17304040215974678</v>
      </c>
      <c r="Q207" s="43" t="e">
        <v>#N/A</v>
      </c>
      <c r="R207" s="29">
        <v>9.3388280004963047</v>
      </c>
      <c r="S207" s="44">
        <v>13103000000</v>
      </c>
      <c r="T207" s="44">
        <v>13311000000</v>
      </c>
      <c r="U207" s="44">
        <v>5786495488</v>
      </c>
      <c r="V207" s="29">
        <v>86.652077064822052</v>
      </c>
      <c r="W207" s="29" t="e">
        <v>#N/A</v>
      </c>
      <c r="X207" s="29">
        <v>-29.539934897465869</v>
      </c>
      <c r="Y207" s="29">
        <v>50.477305074463573</v>
      </c>
      <c r="Z207" s="29">
        <v>1.3220600044710162</v>
      </c>
      <c r="AA207" t="s">
        <v>77</v>
      </c>
      <c r="AB207" t="s">
        <v>90</v>
      </c>
      <c r="AC207" t="s">
        <v>155</v>
      </c>
    </row>
    <row r="208" spans="5:29" hidden="1" x14ac:dyDescent="0.25">
      <c r="E208" s="1" t="s">
        <v>411</v>
      </c>
      <c r="F208" s="1" t="s">
        <v>412</v>
      </c>
      <c r="G208" s="41" t="e">
        <v>#N/A</v>
      </c>
      <c r="H208" s="41">
        <v>4.8880691131621717E-2</v>
      </c>
      <c r="I208" s="41">
        <v>5.5686975694792418E-2</v>
      </c>
      <c r="J208" s="41">
        <v>4.8880691131621717E-2</v>
      </c>
      <c r="K208" s="42">
        <v>11.883172681581755</v>
      </c>
      <c r="L208" s="28">
        <v>61.560525206486929</v>
      </c>
      <c r="M208" s="28">
        <v>68.877340807669313</v>
      </c>
      <c r="N208" s="41">
        <v>0.36191935364538236</v>
      </c>
      <c r="O208" s="29">
        <v>4.3967089680456493</v>
      </c>
      <c r="P208" s="41">
        <v>0.445498767111493</v>
      </c>
      <c r="Q208" s="43" t="e">
        <v>#N/A</v>
      </c>
      <c r="R208" s="29">
        <v>21.391914222918572</v>
      </c>
      <c r="S208" s="44">
        <v>14391470000</v>
      </c>
      <c r="T208" s="44">
        <v>14391470000</v>
      </c>
      <c r="U208" s="44">
        <v>7095973376</v>
      </c>
      <c r="V208" s="29">
        <v>9.0955006199019071</v>
      </c>
      <c r="W208" s="29">
        <v>9.162163430603842</v>
      </c>
      <c r="X208" s="29">
        <v>-0.40011424078939539</v>
      </c>
      <c r="Y208" s="29">
        <v>25.588342784567892</v>
      </c>
      <c r="Z208" s="29">
        <v>0.86297120427920482</v>
      </c>
      <c r="AA208" t="s">
        <v>66</v>
      </c>
      <c r="AB208" t="s">
        <v>78</v>
      </c>
      <c r="AC208" t="s">
        <v>121</v>
      </c>
    </row>
    <row r="209" spans="5:29" hidden="1" x14ac:dyDescent="0.25">
      <c r="E209" s="1" t="s">
        <v>527</v>
      </c>
      <c r="F209" s="1" t="s">
        <v>528</v>
      </c>
      <c r="G209" s="41">
        <v>0.1380538789596529</v>
      </c>
      <c r="H209" s="41">
        <v>4.7724580566153897E-2</v>
      </c>
      <c r="I209" s="41">
        <v>0.1380538789596529</v>
      </c>
      <c r="J209" s="41">
        <v>4.7724580566153897E-2</v>
      </c>
      <c r="K209" s="42">
        <v>-0.48875933076956729</v>
      </c>
      <c r="L209" s="28">
        <v>28.73523286358261</v>
      </c>
      <c r="M209" s="28">
        <v>26.337988258544524</v>
      </c>
      <c r="N209" s="41">
        <v>0.25288767679981122</v>
      </c>
      <c r="O209" s="29">
        <v>41.527553083923159</v>
      </c>
      <c r="P209" s="41">
        <v>0.51724806748474128</v>
      </c>
      <c r="Q209" s="43" t="e">
        <v>#N/A</v>
      </c>
      <c r="R209" s="29">
        <v>32.346669615727777</v>
      </c>
      <c r="S209" s="44">
        <v>1497614000</v>
      </c>
      <c r="T209" s="44">
        <v>1497614000</v>
      </c>
      <c r="U209" s="44">
        <v>1464639232</v>
      </c>
      <c r="V209" s="29">
        <v>165.56161375126391</v>
      </c>
      <c r="W209" s="29">
        <v>184.60026606538895</v>
      </c>
      <c r="X209" s="29">
        <v>-2.8068345502300458</v>
      </c>
      <c r="Y209" s="29">
        <v>14.509651232492503</v>
      </c>
      <c r="Z209" s="29">
        <v>1.4645717616373193</v>
      </c>
      <c r="AA209" t="s">
        <v>66</v>
      </c>
      <c r="AB209" t="s">
        <v>78</v>
      </c>
      <c r="AC209" t="s">
        <v>121</v>
      </c>
    </row>
    <row r="210" spans="5:29" hidden="1" x14ac:dyDescent="0.25">
      <c r="E210" s="1" t="s">
        <v>501</v>
      </c>
      <c r="F210" s="1" t="s">
        <v>502</v>
      </c>
      <c r="G210" s="41">
        <v>7.3945687896736528E-2</v>
      </c>
      <c r="H210" s="41">
        <v>4.6800443258396669E-2</v>
      </c>
      <c r="I210" s="41">
        <v>7.111220227607204E-2</v>
      </c>
      <c r="J210" s="41">
        <v>4.5111025800365565E-2</v>
      </c>
      <c r="K210" s="42">
        <v>1.1877495838525434</v>
      </c>
      <c r="L210" s="28" t="e">
        <v>#N/A</v>
      </c>
      <c r="M210" s="28" t="e">
        <v>#N/A</v>
      </c>
      <c r="N210" s="41">
        <v>6.4996160464146774E-2</v>
      </c>
      <c r="O210" s="29" t="e">
        <v>#N/A</v>
      </c>
      <c r="P210" s="41">
        <v>5.1212509926088813E-2</v>
      </c>
      <c r="Q210" s="43" t="e">
        <v>#N/A</v>
      </c>
      <c r="R210" s="29">
        <v>21.700155693129442</v>
      </c>
      <c r="S210" s="44">
        <v>9252391000</v>
      </c>
      <c r="T210" s="44">
        <v>9598895000</v>
      </c>
      <c r="U210" s="44">
        <v>4544282624</v>
      </c>
      <c r="V210" s="29" t="e">
        <v>#N/A</v>
      </c>
      <c r="W210" s="29">
        <v>19.094396561818687</v>
      </c>
      <c r="X210" s="29">
        <v>-158.2375392327711</v>
      </c>
      <c r="Y210" s="29">
        <v>42.74761788917521</v>
      </c>
      <c r="Z210" s="29">
        <v>0.55775903173400676</v>
      </c>
      <c r="AA210" t="s">
        <v>66</v>
      </c>
      <c r="AB210" t="s">
        <v>72</v>
      </c>
      <c r="AC210" t="s">
        <v>109</v>
      </c>
    </row>
    <row r="211" spans="5:29" hidden="1" x14ac:dyDescent="0.25">
      <c r="E211" s="1" t="s">
        <v>258</v>
      </c>
      <c r="F211" s="1" t="s">
        <v>259</v>
      </c>
      <c r="G211" s="41">
        <v>7.976188378588317E-2</v>
      </c>
      <c r="H211" s="41">
        <v>4.6504926010721301E-2</v>
      </c>
      <c r="I211" s="41">
        <v>7.976188378588317E-2</v>
      </c>
      <c r="J211" s="41">
        <v>4.6504926010721301E-2</v>
      </c>
      <c r="K211" s="42">
        <v>1.944479612288259E-2</v>
      </c>
      <c r="L211" s="28">
        <v>125.24455229713367</v>
      </c>
      <c r="M211" s="28">
        <v>51.08998817126772</v>
      </c>
      <c r="N211" s="41">
        <v>0.33413172850216249</v>
      </c>
      <c r="O211" s="29">
        <v>8.5872886123325252</v>
      </c>
      <c r="P211" s="41">
        <v>0.46706197784839815</v>
      </c>
      <c r="Q211" s="43" t="e">
        <v>#N/A</v>
      </c>
      <c r="R211" s="29">
        <v>24.519665384789299</v>
      </c>
      <c r="S211" s="44">
        <v>8449535000</v>
      </c>
      <c r="T211" s="44">
        <v>8449535000</v>
      </c>
      <c r="U211" s="44">
        <v>3598438400</v>
      </c>
      <c r="V211" s="29">
        <v>18.417805127263126</v>
      </c>
      <c r="W211" s="29">
        <v>18.701866169270225</v>
      </c>
      <c r="X211" s="29">
        <v>0.88613438540451328</v>
      </c>
      <c r="Y211" s="29" t="e">
        <v>#N/A</v>
      </c>
      <c r="Z211" s="29">
        <v>0.78915781788898021</v>
      </c>
      <c r="AA211" t="s">
        <v>66</v>
      </c>
      <c r="AB211" t="s">
        <v>78</v>
      </c>
      <c r="AC211" t="s">
        <v>121</v>
      </c>
    </row>
    <row r="212" spans="5:29" hidden="1" x14ac:dyDescent="0.25">
      <c r="E212" s="1" t="s">
        <v>607</v>
      </c>
      <c r="F212" s="1" t="s">
        <v>608</v>
      </c>
      <c r="G212" s="41">
        <v>4.4909269596070694E-2</v>
      </c>
      <c r="H212" s="41">
        <v>4.6256619995006347E-2</v>
      </c>
      <c r="I212" s="41">
        <v>4.4909269596070694E-2</v>
      </c>
      <c r="J212" s="41">
        <v>4.6256619995006347E-2</v>
      </c>
      <c r="K212" s="42" t="e">
        <v>#N/A</v>
      </c>
      <c r="L212" s="28">
        <v>77.259050782717281</v>
      </c>
      <c r="M212" s="28">
        <v>78.489189066678748</v>
      </c>
      <c r="N212" s="41" t="e">
        <v>#N/A</v>
      </c>
      <c r="O212" s="29" t="e">
        <v>#N/A</v>
      </c>
      <c r="P212" s="41">
        <v>0.24093802410738621</v>
      </c>
      <c r="Q212" s="43" t="e">
        <v>#N/A</v>
      </c>
      <c r="R212" s="29" t="e">
        <v>#N/A</v>
      </c>
      <c r="S212" s="44">
        <v>4253402000</v>
      </c>
      <c r="T212" s="44">
        <v>4253402000</v>
      </c>
      <c r="U212" s="44">
        <v>741190528</v>
      </c>
      <c r="V212" s="29" t="e">
        <v>#N/A</v>
      </c>
      <c r="W212" s="29" t="e">
        <v>#N/A</v>
      </c>
      <c r="X212" s="29" t="e">
        <v>#N/A</v>
      </c>
      <c r="Y212" s="29" t="e">
        <v>#N/A</v>
      </c>
      <c r="Z212" s="29">
        <v>0.53706054046487495</v>
      </c>
      <c r="AA212" t="s">
        <v>66</v>
      </c>
      <c r="AB212" t="s">
        <v>78</v>
      </c>
      <c r="AC212" t="s">
        <v>121</v>
      </c>
    </row>
    <row r="213" spans="5:29" hidden="1" x14ac:dyDescent="0.25">
      <c r="E213" s="1" t="s">
        <v>708</v>
      </c>
      <c r="F213" s="1" t="s">
        <v>709</v>
      </c>
      <c r="G213" s="41">
        <v>4.3736211095124371E-2</v>
      </c>
      <c r="H213" s="41">
        <v>4.6141353230679125E-2</v>
      </c>
      <c r="I213" s="41">
        <v>4.3736211095124371E-2</v>
      </c>
      <c r="J213" s="41">
        <v>4.6141353230679125E-2</v>
      </c>
      <c r="K213" s="42">
        <v>12.187242297338928</v>
      </c>
      <c r="L213" s="28" t="e">
        <v>#N/A</v>
      </c>
      <c r="M213" s="28" t="e">
        <v>#N/A</v>
      </c>
      <c r="N213" s="41">
        <v>0.42055916697512763</v>
      </c>
      <c r="O213" s="29" t="e">
        <v>#N/A</v>
      </c>
      <c r="P213" s="41">
        <v>0.53195205199335116</v>
      </c>
      <c r="Q213" s="43" t="e">
        <v>#N/A</v>
      </c>
      <c r="R213" s="29">
        <v>37.162078594511627</v>
      </c>
      <c r="S213" s="44">
        <v>2677208000</v>
      </c>
      <c r="T213" s="44">
        <v>2677208000</v>
      </c>
      <c r="U213" s="44">
        <v>1068785152</v>
      </c>
      <c r="V213" s="29" t="e">
        <v>#N/A</v>
      </c>
      <c r="W213" s="29">
        <v>8.93069463271088</v>
      </c>
      <c r="X213" s="29">
        <v>-9.7525681195092062</v>
      </c>
      <c r="Y213" s="29">
        <v>11.652935500630893</v>
      </c>
      <c r="Z213" s="29">
        <v>0.70579143029520397</v>
      </c>
      <c r="AA213" t="s">
        <v>66</v>
      </c>
      <c r="AB213" t="s">
        <v>176</v>
      </c>
      <c r="AC213" t="s">
        <v>236</v>
      </c>
    </row>
    <row r="214" spans="5:29" hidden="1" x14ac:dyDescent="0.25">
      <c r="E214" s="1" t="s">
        <v>1036</v>
      </c>
      <c r="F214" s="1" t="s">
        <v>1037</v>
      </c>
      <c r="G214" s="41" t="e">
        <v>#N/A</v>
      </c>
      <c r="H214" s="41">
        <v>4.6094133752063456E-2</v>
      </c>
      <c r="I214" s="41" t="e">
        <v>#N/A</v>
      </c>
      <c r="J214" s="41">
        <v>4.6094133752063456E-2</v>
      </c>
      <c r="K214" s="42">
        <v>7.7354613131826202</v>
      </c>
      <c r="L214" s="28" t="e">
        <v>#N/A</v>
      </c>
      <c r="M214" s="28">
        <v>33.895069680290426</v>
      </c>
      <c r="N214" s="41">
        <v>-8.0803639036277825E-2</v>
      </c>
      <c r="O214" s="29">
        <v>-1.602780686766246</v>
      </c>
      <c r="P214" s="41">
        <v>0.51215072990520327</v>
      </c>
      <c r="Q214" s="43">
        <v>8.0878571953279951E-2</v>
      </c>
      <c r="R214" s="29" t="e">
        <v>#N/A</v>
      </c>
      <c r="S214" s="44">
        <v>620925000</v>
      </c>
      <c r="T214" s="44">
        <v>620925000</v>
      </c>
      <c r="U214" s="44">
        <v>661361856</v>
      </c>
      <c r="V214" s="29">
        <v>7.5104014771537235</v>
      </c>
      <c r="W214" s="29">
        <v>7.5438734394463669</v>
      </c>
      <c r="X214" s="29">
        <v>2.469298743470322</v>
      </c>
      <c r="Y214" s="29">
        <v>27.612404769965671</v>
      </c>
      <c r="Z214" s="29">
        <v>0.80172115483029249</v>
      </c>
      <c r="AA214" t="s">
        <v>73</v>
      </c>
      <c r="AB214" t="s">
        <v>180</v>
      </c>
      <c r="AC214" t="s">
        <v>249</v>
      </c>
    </row>
    <row r="215" spans="5:29" hidden="1" x14ac:dyDescent="0.25">
      <c r="E215" s="1" t="s">
        <v>698</v>
      </c>
      <c r="F215" s="1" t="s">
        <v>699</v>
      </c>
      <c r="G215" s="41">
        <v>7.5427545106327404E-2</v>
      </c>
      <c r="H215" s="41">
        <v>4.5670695462651081E-2</v>
      </c>
      <c r="I215" s="41">
        <v>7.4817001919683129E-2</v>
      </c>
      <c r="J215" s="41">
        <v>4.4356778600981431E-2</v>
      </c>
      <c r="K215" s="42">
        <v>8.5664933951276492</v>
      </c>
      <c r="L215" s="28">
        <v>17.263158687916093</v>
      </c>
      <c r="M215" s="28">
        <v>14.55584872471416</v>
      </c>
      <c r="N215" s="41">
        <v>0.51300185740820115</v>
      </c>
      <c r="O215" s="29">
        <v>8.091577592831726</v>
      </c>
      <c r="P215" s="41">
        <v>0.45142337553332867</v>
      </c>
      <c r="Q215" s="43" t="e">
        <v>#N/A</v>
      </c>
      <c r="R215" s="29">
        <v>9.8610564650209618</v>
      </c>
      <c r="S215" s="44">
        <v>10094000000</v>
      </c>
      <c r="T215" s="44">
        <v>10393000000</v>
      </c>
      <c r="U215" s="44">
        <v>8931614720</v>
      </c>
      <c r="V215" s="29">
        <v>18.94226338811853</v>
      </c>
      <c r="W215" s="29">
        <v>26.018595759170406</v>
      </c>
      <c r="X215" s="29">
        <v>-9.8926569013491878</v>
      </c>
      <c r="Y215" s="29">
        <v>40.463899552221136</v>
      </c>
      <c r="Z215" s="29">
        <v>2.9910849525167786</v>
      </c>
      <c r="AA215" t="s">
        <v>77</v>
      </c>
      <c r="AB215" t="s">
        <v>85</v>
      </c>
      <c r="AC215" t="s">
        <v>195</v>
      </c>
    </row>
    <row r="216" spans="5:29" hidden="1" x14ac:dyDescent="0.25">
      <c r="E216" s="1" t="s">
        <v>489</v>
      </c>
      <c r="F216" s="1" t="s">
        <v>490</v>
      </c>
      <c r="G216" s="41">
        <v>4.6648539732063315E-2</v>
      </c>
      <c r="H216" s="41">
        <v>4.5103482395624332E-2</v>
      </c>
      <c r="I216" s="41">
        <v>4.566153865015582E-2</v>
      </c>
      <c r="J216" s="41">
        <v>4.3153548794277748E-2</v>
      </c>
      <c r="K216" s="42">
        <v>6.6633059896430051</v>
      </c>
      <c r="L216" s="28">
        <v>65.200635080004375</v>
      </c>
      <c r="M216" s="28">
        <v>61.598513011152413</v>
      </c>
      <c r="N216" s="41">
        <v>0.38714064526928066</v>
      </c>
      <c r="O216" s="29">
        <v>5.7462732919254655</v>
      </c>
      <c r="P216" s="41">
        <v>0.44993729519802583</v>
      </c>
      <c r="Q216" s="43" t="e">
        <v>#N/A</v>
      </c>
      <c r="R216" s="29">
        <v>3.9898323982367536</v>
      </c>
      <c r="S216" s="44">
        <v>36383000000</v>
      </c>
      <c r="T216" s="44">
        <v>38027000000</v>
      </c>
      <c r="U216" s="44">
        <v>24739643392</v>
      </c>
      <c r="V216" s="29">
        <v>13.439330245962733</v>
      </c>
      <c r="W216" s="29">
        <v>13.514879260462211</v>
      </c>
      <c r="X216" s="29">
        <v>-5.4649130489778726</v>
      </c>
      <c r="Y216" s="29">
        <v>76.671952243260876</v>
      </c>
      <c r="Z216" s="29">
        <v>1.1219859616423555</v>
      </c>
      <c r="AA216" t="s">
        <v>66</v>
      </c>
      <c r="AB216" t="s">
        <v>78</v>
      </c>
      <c r="AC216" t="s">
        <v>121</v>
      </c>
    </row>
    <row r="217" spans="5:29" hidden="1" x14ac:dyDescent="0.25">
      <c r="E217" s="1" t="s">
        <v>352</v>
      </c>
      <c r="F217" s="1" t="s">
        <v>353</v>
      </c>
      <c r="G217" s="41">
        <v>5.4682145558490255E-2</v>
      </c>
      <c r="H217" s="41">
        <v>4.4037876366774163E-2</v>
      </c>
      <c r="I217" s="41">
        <v>5.4682145558490255E-2</v>
      </c>
      <c r="J217" s="41">
        <v>4.4037876366774163E-2</v>
      </c>
      <c r="K217" s="42">
        <v>10.392912942014766</v>
      </c>
      <c r="L217" s="28" t="e">
        <v>#N/A</v>
      </c>
      <c r="M217" s="28" t="e">
        <v>#N/A</v>
      </c>
      <c r="N217" s="41">
        <v>0.43676251568083302</v>
      </c>
      <c r="O217" s="29" t="e">
        <v>#N/A</v>
      </c>
      <c r="P217" s="41">
        <v>0.47836530207964795</v>
      </c>
      <c r="Q217" s="43" t="e">
        <v>#N/A</v>
      </c>
      <c r="R217" s="29">
        <v>6.0979724289611603</v>
      </c>
      <c r="S217" s="44">
        <v>7250009000</v>
      </c>
      <c r="T217" s="44">
        <v>7250009000</v>
      </c>
      <c r="U217" s="44">
        <v>3007615488</v>
      </c>
      <c r="V217" s="29" t="e">
        <v>#N/A</v>
      </c>
      <c r="W217" s="29">
        <v>11.933185910750597</v>
      </c>
      <c r="X217" s="29">
        <v>-4.9331439006075515</v>
      </c>
      <c r="Y217" s="29">
        <v>15.559126175536866</v>
      </c>
      <c r="Z217" s="29">
        <v>0.79322522730365086</v>
      </c>
      <c r="AA217" t="s">
        <v>66</v>
      </c>
      <c r="AB217" t="s">
        <v>176</v>
      </c>
      <c r="AC217" t="s">
        <v>236</v>
      </c>
    </row>
    <row r="218" spans="5:29" hidden="1" x14ac:dyDescent="0.25">
      <c r="E218" s="1" t="s">
        <v>381</v>
      </c>
      <c r="F218" s="1" t="s">
        <v>382</v>
      </c>
      <c r="G218" s="41">
        <v>4.5812187878517013E-2</v>
      </c>
      <c r="H218" s="41">
        <v>4.3487598365904601E-2</v>
      </c>
      <c r="I218" s="41">
        <v>4.5812187878517013E-2</v>
      </c>
      <c r="J218" s="41">
        <v>4.3487598365904601E-2</v>
      </c>
      <c r="K218" s="42">
        <v>5.1879675427898411</v>
      </c>
      <c r="L218" s="28">
        <v>61.091622861134965</v>
      </c>
      <c r="M218" s="28">
        <v>70.224712260041429</v>
      </c>
      <c r="N218" s="41">
        <v>0.25903602502097078</v>
      </c>
      <c r="O218" s="29">
        <v>4.9525317509574487</v>
      </c>
      <c r="P218" s="41">
        <v>0.5153361863056064</v>
      </c>
      <c r="Q218" s="43" t="e">
        <v>#N/A</v>
      </c>
      <c r="R218" s="29">
        <v>1.1405064116518429</v>
      </c>
      <c r="S218" s="44">
        <v>14518369000</v>
      </c>
      <c r="T218" s="44">
        <v>14518369000</v>
      </c>
      <c r="U218" s="44">
        <v>7273887744</v>
      </c>
      <c r="V218" s="29">
        <v>12.437018053011611</v>
      </c>
      <c r="W218" s="29">
        <v>12.471654720931667</v>
      </c>
      <c r="X218" s="29">
        <v>3.4836528816246748</v>
      </c>
      <c r="Y218" s="29">
        <v>33.655125079603444</v>
      </c>
      <c r="Z218" s="29">
        <v>0.75477961252481907</v>
      </c>
      <c r="AA218" t="s">
        <v>66</v>
      </c>
      <c r="AB218" t="s">
        <v>78</v>
      </c>
      <c r="AC218" t="s">
        <v>121</v>
      </c>
    </row>
    <row r="219" spans="5:29" hidden="1" x14ac:dyDescent="0.25">
      <c r="E219" s="1" t="s">
        <v>535</v>
      </c>
      <c r="F219" s="1" t="s">
        <v>536</v>
      </c>
      <c r="G219" s="41">
        <v>8.1013895851550541E-2</v>
      </c>
      <c r="H219" s="41">
        <v>4.1916967027099183E-2</v>
      </c>
      <c r="I219" s="41">
        <v>7.8848897282650376E-2</v>
      </c>
      <c r="J219" s="41">
        <v>4.0673867831518648E-2</v>
      </c>
      <c r="K219" s="42" t="e">
        <v>#N/A</v>
      </c>
      <c r="L219" s="28">
        <v>12.506678497624403</v>
      </c>
      <c r="M219" s="28">
        <v>10.910637473893862</v>
      </c>
      <c r="N219" s="41">
        <v>0.31366447201710673</v>
      </c>
      <c r="O219" s="29" t="e">
        <v>#N/A</v>
      </c>
      <c r="P219" s="41">
        <v>0.36076367970243867</v>
      </c>
      <c r="Q219" s="43" t="e">
        <v>#N/A</v>
      </c>
      <c r="R219" s="29" t="e">
        <v>#N/A</v>
      </c>
      <c r="S219" s="44">
        <v>539352000</v>
      </c>
      <c r="T219" s="44">
        <v>555836000</v>
      </c>
      <c r="U219" s="44">
        <v>243147824</v>
      </c>
      <c r="V219" s="29" t="e">
        <v>#N/A</v>
      </c>
      <c r="W219" s="29" t="e">
        <v>#N/A</v>
      </c>
      <c r="X219" s="29" t="e">
        <v>#N/A</v>
      </c>
      <c r="Y219" s="29" t="e">
        <v>#N/A</v>
      </c>
      <c r="Z219" s="29">
        <v>0.85802965367547535</v>
      </c>
      <c r="AA219" t="s">
        <v>65</v>
      </c>
      <c r="AB219" t="s">
        <v>184</v>
      </c>
      <c r="AC219" t="s">
        <v>185</v>
      </c>
    </row>
    <row r="220" spans="5:29" hidden="1" x14ac:dyDescent="0.25">
      <c r="E220" s="1" t="s">
        <v>354</v>
      </c>
      <c r="F220" s="1" t="s">
        <v>355</v>
      </c>
      <c r="G220" s="41">
        <v>0.14338469008569202</v>
      </c>
      <c r="H220" s="41">
        <v>4.1569902461681373E-2</v>
      </c>
      <c r="I220" s="41">
        <v>0.12574163519213272</v>
      </c>
      <c r="J220" s="41">
        <v>3.7400752193898872E-2</v>
      </c>
      <c r="K220" s="42">
        <v>10.954387250412163</v>
      </c>
      <c r="L220" s="28">
        <v>13.563087468634283</v>
      </c>
      <c r="M220" s="28">
        <v>7.9606879606879604</v>
      </c>
      <c r="N220" s="41">
        <v>0.32012114827495392</v>
      </c>
      <c r="O220" s="29">
        <v>3.0578616352201258</v>
      </c>
      <c r="P220" s="41">
        <v>0.38630170918999257</v>
      </c>
      <c r="Q220" s="43" t="e">
        <v>#N/A</v>
      </c>
      <c r="R220" s="29">
        <v>3.1961709356545556</v>
      </c>
      <c r="S220" s="44">
        <v>4306000000</v>
      </c>
      <c r="T220" s="44">
        <v>4786000000</v>
      </c>
      <c r="U220" s="44">
        <v>9791011840</v>
      </c>
      <c r="V220" s="29">
        <v>15.672970867924528</v>
      </c>
      <c r="W220" s="29">
        <v>26.176495462184874</v>
      </c>
      <c r="X220" s="29">
        <v>0</v>
      </c>
      <c r="Y220" s="29">
        <v>31.744215226377616</v>
      </c>
      <c r="Z220" s="29">
        <v>3.4323633571676497</v>
      </c>
      <c r="AA220" t="s">
        <v>73</v>
      </c>
      <c r="AB220" t="s">
        <v>169</v>
      </c>
      <c r="AC220" t="s">
        <v>192</v>
      </c>
    </row>
    <row r="221" spans="5:29" hidden="1" x14ac:dyDescent="0.25">
      <c r="E221" s="1" t="s">
        <v>946</v>
      </c>
      <c r="F221" s="1" t="s">
        <v>947</v>
      </c>
      <c r="G221" s="41">
        <v>4.174316828860157E-2</v>
      </c>
      <c r="H221" s="41">
        <v>4.1013645344800155E-2</v>
      </c>
      <c r="I221" s="41">
        <v>4.174316828860157E-2</v>
      </c>
      <c r="J221" s="41">
        <v>4.1013645344800155E-2</v>
      </c>
      <c r="K221" s="42">
        <v>7.1673014372262145</v>
      </c>
      <c r="L221" s="28">
        <v>12.521683557585268</v>
      </c>
      <c r="M221" s="28">
        <v>50.871275997751546</v>
      </c>
      <c r="N221" s="41">
        <v>0.24688994354985722</v>
      </c>
      <c r="O221" s="29">
        <v>6.7472999111296987</v>
      </c>
      <c r="P221" s="41">
        <v>0.5461283037086927</v>
      </c>
      <c r="Q221" s="43" t="e">
        <v>#N/A</v>
      </c>
      <c r="R221" s="29" t="e">
        <v>#N/A</v>
      </c>
      <c r="S221" s="44">
        <v>3878319000</v>
      </c>
      <c r="T221" s="44">
        <v>3878319000</v>
      </c>
      <c r="U221" s="44">
        <v>3074254336</v>
      </c>
      <c r="V221" s="29">
        <v>28.238550556746301</v>
      </c>
      <c r="W221" s="29">
        <v>37.404371678842224</v>
      </c>
      <c r="X221" s="29">
        <v>-12.578041948966451</v>
      </c>
      <c r="Y221" s="29">
        <v>25.477441764091608</v>
      </c>
      <c r="Z221" s="29">
        <v>1.7220585088233575</v>
      </c>
      <c r="AA221" t="s">
        <v>69</v>
      </c>
      <c r="AB221" t="s">
        <v>70</v>
      </c>
      <c r="AC221" t="s">
        <v>70</v>
      </c>
    </row>
    <row r="222" spans="5:29" hidden="1" x14ac:dyDescent="0.25">
      <c r="E222" s="1" t="s">
        <v>272</v>
      </c>
      <c r="F222" s="1" t="s">
        <v>273</v>
      </c>
      <c r="G222" s="41">
        <v>3.773870596063441E-2</v>
      </c>
      <c r="H222" s="41">
        <v>4.0580716672788536E-2</v>
      </c>
      <c r="I222" s="41">
        <v>3.773870596063441E-2</v>
      </c>
      <c r="J222" s="41">
        <v>4.0580716672788536E-2</v>
      </c>
      <c r="K222" s="42">
        <v>-16.294448204204603</v>
      </c>
      <c r="L222" s="28">
        <v>79.130989568346592</v>
      </c>
      <c r="M222" s="28">
        <v>78.103191821691325</v>
      </c>
      <c r="N222" s="41">
        <v>0.49336230977931261</v>
      </c>
      <c r="O222" s="29">
        <v>11.436103061297617</v>
      </c>
      <c r="P222" s="41">
        <v>0.34360871439130303</v>
      </c>
      <c r="Q222" s="43" t="e">
        <v>#N/A</v>
      </c>
      <c r="R222" s="29">
        <v>17.952215982545265</v>
      </c>
      <c r="S222" s="44">
        <v>30807588000</v>
      </c>
      <c r="T222" s="44">
        <v>30807588000</v>
      </c>
      <c r="U222" s="44">
        <v>4947759616</v>
      </c>
      <c r="V222" s="29">
        <v>18.091683107887508</v>
      </c>
      <c r="W222" s="29">
        <v>19.784063683149</v>
      </c>
      <c r="X222" s="29">
        <v>1.7281761167921692</v>
      </c>
      <c r="Y222" s="29" t="e">
        <v>#N/A</v>
      </c>
      <c r="Z222" s="29">
        <v>0.6980735893718123</v>
      </c>
      <c r="AA222" t="s">
        <v>66</v>
      </c>
      <c r="AB222" t="s">
        <v>78</v>
      </c>
      <c r="AC222" t="s">
        <v>123</v>
      </c>
    </row>
    <row r="223" spans="5:29" hidden="1" x14ac:dyDescent="0.25">
      <c r="E223" s="1" t="s">
        <v>451</v>
      </c>
      <c r="F223" s="1" t="s">
        <v>452</v>
      </c>
      <c r="G223" s="41">
        <v>6.137869916777304E-2</v>
      </c>
      <c r="H223" s="41">
        <v>4.0415640223008392E-2</v>
      </c>
      <c r="I223" s="41">
        <v>6.137869916777304E-2</v>
      </c>
      <c r="J223" s="41">
        <v>4.0415640223008392E-2</v>
      </c>
      <c r="K223" s="42">
        <v>4.7969678996629392</v>
      </c>
      <c r="L223" s="28">
        <v>12.432485955882068</v>
      </c>
      <c r="M223" s="28">
        <v>11.72536372631656</v>
      </c>
      <c r="N223" s="41">
        <v>0.27969021856046744</v>
      </c>
      <c r="O223" s="29">
        <v>3.1086454968748694</v>
      </c>
      <c r="P223" s="41">
        <v>0.5377508388026917</v>
      </c>
      <c r="Q223" s="43" t="e">
        <v>#N/A</v>
      </c>
      <c r="R223" s="29">
        <v>16.761400324838178</v>
      </c>
      <c r="S223" s="44">
        <v>215956000</v>
      </c>
      <c r="T223" s="44">
        <v>215956000</v>
      </c>
      <c r="U223" s="44">
        <v>825612928</v>
      </c>
      <c r="V223" s="29">
        <v>12.246941230756324</v>
      </c>
      <c r="W223" s="29">
        <v>22.111089972735535</v>
      </c>
      <c r="X223" s="29">
        <v>1.0568512905375467</v>
      </c>
      <c r="Y223" s="29">
        <v>31.839239423511259</v>
      </c>
      <c r="Z223" s="29">
        <v>1.5991168525175343</v>
      </c>
      <c r="AA223" t="s">
        <v>77</v>
      </c>
      <c r="AB223" t="s">
        <v>181</v>
      </c>
      <c r="AC223" t="s">
        <v>181</v>
      </c>
    </row>
    <row r="224" spans="5:29" hidden="1" x14ac:dyDescent="0.25">
      <c r="E224" s="1" t="s">
        <v>314</v>
      </c>
      <c r="F224" s="1" t="s">
        <v>315</v>
      </c>
      <c r="G224" s="41">
        <v>5.5131790515169241E-2</v>
      </c>
      <c r="H224" s="41">
        <v>4.0304756800037055E-2</v>
      </c>
      <c r="I224" s="41">
        <v>5.5131790515169241E-2</v>
      </c>
      <c r="J224" s="41">
        <v>4.0304756800037055E-2</v>
      </c>
      <c r="K224" s="42">
        <v>15.643655032889194</v>
      </c>
      <c r="L224" s="28">
        <v>77.055595150102931</v>
      </c>
      <c r="M224" s="28">
        <v>68.844111442496541</v>
      </c>
      <c r="N224" s="41">
        <v>0.46664423578144026</v>
      </c>
      <c r="O224" s="29">
        <v>5.2630246116097403</v>
      </c>
      <c r="P224" s="41">
        <v>0.36517868119278984</v>
      </c>
      <c r="Q224" s="43" t="e">
        <v>#N/A</v>
      </c>
      <c r="R224" s="29">
        <v>11.488860123644731</v>
      </c>
      <c r="S224" s="44">
        <v>12089640000</v>
      </c>
      <c r="T224" s="44">
        <v>12089640000</v>
      </c>
      <c r="U224" s="44">
        <v>5330387456</v>
      </c>
      <c r="V224" s="29">
        <v>10.25693998048872</v>
      </c>
      <c r="W224" s="29">
        <v>10.306699370602354</v>
      </c>
      <c r="X224" s="29">
        <v>-13.837568208475087</v>
      </c>
      <c r="Y224" s="29">
        <v>189.79528465505882</v>
      </c>
      <c r="Z224" s="29">
        <v>1.2888800928433786</v>
      </c>
      <c r="AA224" t="s">
        <v>76</v>
      </c>
      <c r="AB224" t="s">
        <v>131</v>
      </c>
      <c r="AC224" t="s">
        <v>132</v>
      </c>
    </row>
    <row r="225" spans="5:29" hidden="1" x14ac:dyDescent="0.25">
      <c r="E225" s="1" t="s">
        <v>577</v>
      </c>
      <c r="F225" s="1" t="s">
        <v>578</v>
      </c>
      <c r="G225" s="41">
        <v>4.2516069920948085E-2</v>
      </c>
      <c r="H225" s="41">
        <v>4.0090085886710793E-2</v>
      </c>
      <c r="I225" s="41">
        <v>4.049551942703504E-2</v>
      </c>
      <c r="J225" s="41">
        <v>3.875886533750595E-2</v>
      </c>
      <c r="K225" s="42" t="e">
        <v>#N/A</v>
      </c>
      <c r="L225" s="28">
        <v>8.2974192365909971</v>
      </c>
      <c r="M225" s="28">
        <v>5.8073953480282663</v>
      </c>
      <c r="N225" s="41">
        <v>0.50555271464150131</v>
      </c>
      <c r="O225" s="29" t="e">
        <v>#N/A</v>
      </c>
      <c r="P225" s="41">
        <v>0.21657432894218126</v>
      </c>
      <c r="Q225" s="43" t="e">
        <v>#N/A</v>
      </c>
      <c r="R225" s="29" t="e">
        <v>#N/A</v>
      </c>
      <c r="S225" s="44">
        <v>4608047000</v>
      </c>
      <c r="T225" s="44">
        <v>4766316000</v>
      </c>
      <c r="U225" s="44">
        <v>1054214336</v>
      </c>
      <c r="V225" s="29" t="e">
        <v>#N/A</v>
      </c>
      <c r="W225" s="29" t="e">
        <v>#N/A</v>
      </c>
      <c r="X225" s="29" t="e">
        <v>#N/A</v>
      </c>
      <c r="Y225" s="29" t="e">
        <v>#N/A</v>
      </c>
      <c r="Z225" s="29">
        <v>0.82851516701532335</v>
      </c>
      <c r="AA225" t="s">
        <v>76</v>
      </c>
      <c r="AB225" t="s">
        <v>82</v>
      </c>
      <c r="AC225" t="s">
        <v>232</v>
      </c>
    </row>
    <row r="226" spans="5:29" hidden="1" x14ac:dyDescent="0.25">
      <c r="E226" s="1" t="s">
        <v>635</v>
      </c>
      <c r="F226" s="1" t="s">
        <v>636</v>
      </c>
      <c r="G226" s="41">
        <v>4.9854434440464737E-2</v>
      </c>
      <c r="H226" s="41">
        <v>4.0075815896387153E-2</v>
      </c>
      <c r="I226" s="41">
        <v>4.9854434440464737E-2</v>
      </c>
      <c r="J226" s="41">
        <v>4.0075815896387153E-2</v>
      </c>
      <c r="K226" s="42" t="e">
        <v>#N/A</v>
      </c>
      <c r="L226" s="28">
        <v>26.952188632761938</v>
      </c>
      <c r="M226" s="28">
        <v>18.170357834841685</v>
      </c>
      <c r="N226" s="41">
        <v>0.71458684747365775</v>
      </c>
      <c r="O226" s="29" t="e">
        <v>#N/A</v>
      </c>
      <c r="P226" s="41">
        <v>0.18469745137394558</v>
      </c>
      <c r="Q226" s="43" t="e">
        <v>#N/A</v>
      </c>
      <c r="R226" s="29" t="e">
        <v>#N/A</v>
      </c>
      <c r="S226" s="44">
        <v>3615073000</v>
      </c>
      <c r="T226" s="44">
        <v>3615073000</v>
      </c>
      <c r="U226" s="44">
        <v>254904032</v>
      </c>
      <c r="V226" s="29" t="e">
        <v>#N/A</v>
      </c>
      <c r="W226" s="29" t="e">
        <v>#N/A</v>
      </c>
      <c r="X226" s="29">
        <v>-67.168808063420514</v>
      </c>
      <c r="Y226" s="29" t="e">
        <v>#N/A</v>
      </c>
      <c r="Z226" s="29">
        <v>0.36655237774566862</v>
      </c>
      <c r="AA226" t="s">
        <v>76</v>
      </c>
      <c r="AB226" t="s">
        <v>131</v>
      </c>
      <c r="AC226" t="s">
        <v>132</v>
      </c>
    </row>
    <row r="227" spans="5:29" hidden="1" x14ac:dyDescent="0.25">
      <c r="E227" s="1" t="s">
        <v>253</v>
      </c>
      <c r="F227" s="1" t="s">
        <v>254</v>
      </c>
      <c r="G227" s="41">
        <v>4.2568717552487548E-2</v>
      </c>
      <c r="H227" s="41">
        <v>3.8490292468313501E-2</v>
      </c>
      <c r="I227" s="41">
        <v>4.2257981897079536E-2</v>
      </c>
      <c r="J227" s="41">
        <v>3.8334496785264106E-2</v>
      </c>
      <c r="K227" s="42">
        <v>-0.28956262622229484</v>
      </c>
      <c r="L227" s="28">
        <v>47.257597008192953</v>
      </c>
      <c r="M227" s="28">
        <v>39.740353568689009</v>
      </c>
      <c r="N227" s="41">
        <v>0.48776638071953576</v>
      </c>
      <c r="O227" s="29">
        <v>54.223289719626166</v>
      </c>
      <c r="P227" s="41">
        <v>0.30873186682308174</v>
      </c>
      <c r="Q227" s="43" t="e">
        <v>#N/A</v>
      </c>
      <c r="R227" s="29">
        <v>15.760342840489438</v>
      </c>
      <c r="S227" s="44">
        <v>6403121000</v>
      </c>
      <c r="T227" s="44">
        <v>6429144000</v>
      </c>
      <c r="U227" s="44">
        <v>1186804224</v>
      </c>
      <c r="V227" s="29">
        <v>84.499616498442364</v>
      </c>
      <c r="W227" s="29">
        <v>125.73181955389094</v>
      </c>
      <c r="X227" s="29">
        <v>-38.942311684930438</v>
      </c>
      <c r="Y227" s="29">
        <v>14.866751715201254</v>
      </c>
      <c r="Z227" s="29">
        <v>0.7980143674554675</v>
      </c>
      <c r="AA227" t="s">
        <v>66</v>
      </c>
      <c r="AB227" t="s">
        <v>78</v>
      </c>
      <c r="AC227" t="s">
        <v>121</v>
      </c>
    </row>
    <row r="228" spans="5:29" hidden="1" x14ac:dyDescent="0.25">
      <c r="E228" s="1" t="s">
        <v>629</v>
      </c>
      <c r="F228" s="1" t="s">
        <v>630</v>
      </c>
      <c r="G228" s="41">
        <v>0.52408951516635027</v>
      </c>
      <c r="H228" s="41">
        <v>3.8313546436303761E-2</v>
      </c>
      <c r="I228" s="41">
        <v>0.50380990587896446</v>
      </c>
      <c r="J228" s="41">
        <v>3.6936948208201426E-2</v>
      </c>
      <c r="K228" s="42">
        <v>0.59122656579509236</v>
      </c>
      <c r="L228" s="28">
        <v>31.074522059566579</v>
      </c>
      <c r="M228" s="28">
        <v>9.0990170206230196</v>
      </c>
      <c r="N228" s="41">
        <v>-0.59083688966662851</v>
      </c>
      <c r="O228" s="29">
        <v>-43.361576047406167</v>
      </c>
      <c r="P228" s="41">
        <v>1.7069336581970718</v>
      </c>
      <c r="Q228" s="43" t="e">
        <v>#N/A</v>
      </c>
      <c r="R228" s="29">
        <v>-2.4436528520616223</v>
      </c>
      <c r="S228" s="44">
        <v>462343000.00000024</v>
      </c>
      <c r="T228" s="44">
        <v>479574000.00000024</v>
      </c>
      <c r="U228" s="44">
        <v>1433101952</v>
      </c>
      <c r="V228" s="29">
        <v>6.3006186367259325</v>
      </c>
      <c r="W228" s="29" t="e">
        <v>#N/A</v>
      </c>
      <c r="X228" s="29">
        <v>5.2514756465840051</v>
      </c>
      <c r="Y228" s="29">
        <v>66.918099476834897</v>
      </c>
      <c r="Z228" s="29">
        <v>0.82431728609539556</v>
      </c>
      <c r="AA228" t="s">
        <v>73</v>
      </c>
      <c r="AB228" t="s">
        <v>96</v>
      </c>
      <c r="AC228" t="s">
        <v>154</v>
      </c>
    </row>
    <row r="229" spans="5:29" hidden="1" x14ac:dyDescent="0.25">
      <c r="E229" s="1" t="s">
        <v>659</v>
      </c>
      <c r="F229" s="1" t="s">
        <v>660</v>
      </c>
      <c r="G229" s="41">
        <v>2.8789957991852615E-2</v>
      </c>
      <c r="H229" s="41">
        <v>3.7877506100770376E-2</v>
      </c>
      <c r="I229" s="41">
        <v>2.8789957991852615E-2</v>
      </c>
      <c r="J229" s="41">
        <v>3.7877506100770376E-2</v>
      </c>
      <c r="K229" s="42">
        <v>0.44367464776498572</v>
      </c>
      <c r="L229" s="28">
        <v>28.596382663489937</v>
      </c>
      <c r="M229" s="28">
        <v>32.842235778732316</v>
      </c>
      <c r="N229" s="41">
        <v>0.79424316838078435</v>
      </c>
      <c r="O229" s="29">
        <v>9.8201232685997812</v>
      </c>
      <c r="P229" s="41">
        <v>0.11085283851064794</v>
      </c>
      <c r="Q229" s="43">
        <v>4.386912978912285E-2</v>
      </c>
      <c r="R229" s="29">
        <v>35.686906717614256</v>
      </c>
      <c r="S229" s="44">
        <v>20898999999.999996</v>
      </c>
      <c r="T229" s="44">
        <v>20898999999.999996</v>
      </c>
      <c r="U229" s="44">
        <v>5817860096</v>
      </c>
      <c r="V229" s="29">
        <v>12.709948395526313</v>
      </c>
      <c r="W229" s="29">
        <v>26.707046511651818</v>
      </c>
      <c r="X229" s="29">
        <v>2.9178597834745879</v>
      </c>
      <c r="Y229" s="29">
        <v>121.58607347462426</v>
      </c>
      <c r="Z229" s="29">
        <v>2.1617458801104039</v>
      </c>
      <c r="AA229" t="s">
        <v>76</v>
      </c>
      <c r="AB229" t="s">
        <v>153</v>
      </c>
      <c r="AC229" t="s">
        <v>189</v>
      </c>
    </row>
    <row r="230" spans="5:29" hidden="1" x14ac:dyDescent="0.25">
      <c r="E230" s="1" t="s">
        <v>471</v>
      </c>
      <c r="F230" s="1" t="s">
        <v>472</v>
      </c>
      <c r="G230" s="41">
        <v>4.431111275693831E-2</v>
      </c>
      <c r="H230" s="41">
        <v>3.7656600937979595E-2</v>
      </c>
      <c r="I230" s="41">
        <v>4.431111275693831E-2</v>
      </c>
      <c r="J230" s="41">
        <v>3.7656600937979595E-2</v>
      </c>
      <c r="K230" s="42">
        <v>9.7400590359842401</v>
      </c>
      <c r="L230" s="28" t="e">
        <v>#N/A</v>
      </c>
      <c r="M230" s="28">
        <v>65.809622482373982</v>
      </c>
      <c r="N230" s="41">
        <v>0.48428795152160159</v>
      </c>
      <c r="O230" s="29" t="e">
        <v>#N/A</v>
      </c>
      <c r="P230" s="41">
        <v>0.3516766849022589</v>
      </c>
      <c r="Q230" s="43" t="e">
        <v>#N/A</v>
      </c>
      <c r="R230" s="29">
        <v>19.819766102329041</v>
      </c>
      <c r="S230" s="44">
        <v>7226170000</v>
      </c>
      <c r="T230" s="44">
        <v>7226170000</v>
      </c>
      <c r="U230" s="44">
        <v>2621600256</v>
      </c>
      <c r="V230" s="29" t="e">
        <v>#N/A</v>
      </c>
      <c r="W230" s="29">
        <v>11.571092835612562</v>
      </c>
      <c r="X230" s="29">
        <v>0.76563922947679175</v>
      </c>
      <c r="Y230" s="29">
        <v>37.791812326205111</v>
      </c>
      <c r="Z230" s="29">
        <v>0.85724658488071115</v>
      </c>
      <c r="AA230" t="s">
        <v>66</v>
      </c>
      <c r="AB230" t="s">
        <v>78</v>
      </c>
      <c r="AC230" t="s">
        <v>121</v>
      </c>
    </row>
    <row r="231" spans="5:29" hidden="1" x14ac:dyDescent="0.25">
      <c r="E231" s="1" t="s">
        <v>625</v>
      </c>
      <c r="F231" s="1" t="s">
        <v>626</v>
      </c>
      <c r="G231" s="41">
        <v>4.1529000878523938E-2</v>
      </c>
      <c r="H231" s="41">
        <v>3.5812132860521949E-2</v>
      </c>
      <c r="I231" s="41">
        <v>4.1520606306300736E-2</v>
      </c>
      <c r="J231" s="41">
        <v>3.5812132860521949E-2</v>
      </c>
      <c r="K231" s="42">
        <v>2.3887657916800205</v>
      </c>
      <c r="L231" s="28">
        <v>43.595045636307987</v>
      </c>
      <c r="M231" s="28">
        <v>45.927578626127733</v>
      </c>
      <c r="N231" s="41">
        <v>0.52242811995827365</v>
      </c>
      <c r="O231" s="29">
        <v>18.366429588559658</v>
      </c>
      <c r="P231" s="41">
        <v>0.34610651939715248</v>
      </c>
      <c r="Q231" s="43" t="e">
        <v>#N/A</v>
      </c>
      <c r="R231" s="29">
        <v>16.214938817708362</v>
      </c>
      <c r="S231" s="44">
        <v>14777422000</v>
      </c>
      <c r="T231" s="44">
        <v>14777422000</v>
      </c>
      <c r="U231" s="44">
        <v>5011014144</v>
      </c>
      <c r="V231" s="29">
        <v>27.899844240441137</v>
      </c>
      <c r="W231" s="29">
        <v>28.127754815135823</v>
      </c>
      <c r="X231" s="29">
        <v>-18.883961864945796</v>
      </c>
      <c r="Y231" s="29">
        <v>46.758699096010361</v>
      </c>
      <c r="Z231" s="29">
        <v>0.77906027270162781</v>
      </c>
      <c r="AA231" t="s">
        <v>66</v>
      </c>
      <c r="AB231" t="s">
        <v>78</v>
      </c>
      <c r="AC231" t="s">
        <v>121</v>
      </c>
    </row>
    <row r="232" spans="5:29" hidden="1" x14ac:dyDescent="0.25">
      <c r="E232" s="1" t="s">
        <v>507</v>
      </c>
      <c r="F232" s="1" t="s">
        <v>508</v>
      </c>
      <c r="G232" s="41">
        <v>3.5506713718504015E-2</v>
      </c>
      <c r="H232" s="41">
        <v>3.5413651534394658E-2</v>
      </c>
      <c r="I232" s="41">
        <v>3.4987925467437252E-2</v>
      </c>
      <c r="J232" s="41">
        <v>3.4966462525517647E-2</v>
      </c>
      <c r="K232" s="42">
        <v>-25.523342384163968</v>
      </c>
      <c r="L232" s="28">
        <v>52.2644148381086</v>
      </c>
      <c r="M232" s="28">
        <v>52.783772119119554</v>
      </c>
      <c r="N232" s="41">
        <v>0.58597199444935033</v>
      </c>
      <c r="O232" s="29" t="e">
        <v>#N/A</v>
      </c>
      <c r="P232" s="41">
        <v>0.31481481481481483</v>
      </c>
      <c r="Q232" s="43" t="e">
        <v>#N/A</v>
      </c>
      <c r="R232" s="29">
        <v>-5.0874453031370113</v>
      </c>
      <c r="S232" s="44">
        <v>33857000000</v>
      </c>
      <c r="T232" s="44">
        <v>34290000000</v>
      </c>
      <c r="U232" s="44">
        <v>2092491776</v>
      </c>
      <c r="V232" s="29" t="e">
        <v>#N/A</v>
      </c>
      <c r="W232" s="29" t="e">
        <v>#N/A</v>
      </c>
      <c r="X232" s="29">
        <v>-47.646543295183783</v>
      </c>
      <c r="Y232" s="29" t="e">
        <v>#N/A</v>
      </c>
      <c r="Z232" s="29">
        <v>0.38877834275389178</v>
      </c>
      <c r="AA232" t="s">
        <v>66</v>
      </c>
      <c r="AB232" t="s">
        <v>78</v>
      </c>
      <c r="AC232" t="s">
        <v>121</v>
      </c>
    </row>
    <row r="233" spans="5:29" hidden="1" x14ac:dyDescent="0.25">
      <c r="E233" s="1" t="s">
        <v>513</v>
      </c>
      <c r="F233" s="1" t="s">
        <v>514</v>
      </c>
      <c r="G233" s="41">
        <v>3.7158213356826099E-2</v>
      </c>
      <c r="H233" s="41">
        <v>3.5286500485594043E-2</v>
      </c>
      <c r="I233" s="41">
        <v>3.6616250884018549E-2</v>
      </c>
      <c r="J233" s="41">
        <v>3.4842496803440662E-2</v>
      </c>
      <c r="K233" s="42">
        <v>-41.185306568346306</v>
      </c>
      <c r="L233" s="28">
        <v>54.625938710407681</v>
      </c>
      <c r="M233" s="28">
        <v>52.783772119119554</v>
      </c>
      <c r="N233" s="41">
        <v>0.5925038856473106</v>
      </c>
      <c r="O233" s="29">
        <v>67.795918367346943</v>
      </c>
      <c r="P233" s="41">
        <v>0.30660282258064514</v>
      </c>
      <c r="Q233" s="43" t="e">
        <v>#N/A</v>
      </c>
      <c r="R233" s="29">
        <v>-4.7791171680032907</v>
      </c>
      <c r="S233" s="44">
        <v>33979000000</v>
      </c>
      <c r="T233" s="44">
        <v>34412000000</v>
      </c>
      <c r="U233" s="44">
        <v>547928512</v>
      </c>
      <c r="V233" s="29">
        <v>90.093086040816331</v>
      </c>
      <c r="W233" s="29">
        <v>96.871249253918492</v>
      </c>
      <c r="X233" s="29">
        <v>-102.56812479946289</v>
      </c>
      <c r="Y233" s="29" t="e">
        <v>#N/A</v>
      </c>
      <c r="Z233" s="29">
        <v>0.10793901964542287</v>
      </c>
      <c r="AA233" t="s">
        <v>66</v>
      </c>
      <c r="AB233" t="s">
        <v>78</v>
      </c>
      <c r="AC233" t="s">
        <v>123</v>
      </c>
    </row>
    <row r="234" spans="5:29" hidden="1" x14ac:dyDescent="0.25">
      <c r="E234" s="1" t="s">
        <v>447</v>
      </c>
      <c r="F234" s="1" t="s">
        <v>448</v>
      </c>
      <c r="G234" s="41" t="e">
        <v>#N/A</v>
      </c>
      <c r="H234" s="41">
        <v>3.3805364447585549E-2</v>
      </c>
      <c r="I234" s="41">
        <v>3.7012527285916141E-2</v>
      </c>
      <c r="J234" s="41">
        <v>3.3805364447585549E-2</v>
      </c>
      <c r="K234" s="42">
        <v>11.054627657850268</v>
      </c>
      <c r="L234" s="28">
        <v>55.604291623706033</v>
      </c>
      <c r="M234" s="28">
        <v>47.538341922142713</v>
      </c>
      <c r="N234" s="41">
        <v>0.52590331438373117</v>
      </c>
      <c r="O234" s="29">
        <v>10.968056353338644</v>
      </c>
      <c r="P234" s="41">
        <v>0.34697368062556189</v>
      </c>
      <c r="Q234" s="43" t="e">
        <v>#N/A</v>
      </c>
      <c r="R234" s="29">
        <v>31.495408363794315</v>
      </c>
      <c r="S234" s="44">
        <v>27121376000</v>
      </c>
      <c r="T234" s="44">
        <v>27121376000</v>
      </c>
      <c r="U234" s="44">
        <v>7561892352</v>
      </c>
      <c r="V234" s="29">
        <v>16.516352197249038</v>
      </c>
      <c r="W234" s="29">
        <v>16.608056710948805</v>
      </c>
      <c r="X234" s="29">
        <v>-19.644884254496194</v>
      </c>
      <c r="Y234" s="29">
        <v>14.196040759573091</v>
      </c>
      <c r="Z234" s="29">
        <v>0.72337829337376724</v>
      </c>
      <c r="AA234" t="s">
        <v>66</v>
      </c>
      <c r="AB234" t="s">
        <v>78</v>
      </c>
      <c r="AC234" t="s">
        <v>121</v>
      </c>
    </row>
    <row r="235" spans="5:29" hidden="1" x14ac:dyDescent="0.25">
      <c r="E235" s="1" t="s">
        <v>670</v>
      </c>
      <c r="F235" s="1" t="s">
        <v>671</v>
      </c>
      <c r="G235" s="41">
        <v>2.4279071875941159E-2</v>
      </c>
      <c r="H235" s="41">
        <v>3.3599944067017225E-2</v>
      </c>
      <c r="I235" s="41">
        <v>2.4279071875941159E-2</v>
      </c>
      <c r="J235" s="41">
        <v>3.3599944067017225E-2</v>
      </c>
      <c r="K235" s="42">
        <v>17.872071342228413</v>
      </c>
      <c r="L235" s="28">
        <v>50.751738628112051</v>
      </c>
      <c r="M235" s="28">
        <v>55.696746800162778</v>
      </c>
      <c r="N235" s="41">
        <v>0.46386043687730127</v>
      </c>
      <c r="O235" s="29">
        <v>4.42644925724003</v>
      </c>
      <c r="P235" s="41">
        <v>0.44116264747120465</v>
      </c>
      <c r="Q235" s="43" t="e">
        <v>#N/A</v>
      </c>
      <c r="R235" s="29">
        <v>20.550763785095953</v>
      </c>
      <c r="S235" s="44">
        <v>21168190</v>
      </c>
      <c r="T235" s="44">
        <v>21168190</v>
      </c>
      <c r="U235" s="44">
        <v>841668800</v>
      </c>
      <c r="V235" s="29">
        <v>355.30298937961595</v>
      </c>
      <c r="W235" s="29">
        <v>357.4019714306076</v>
      </c>
      <c r="X235" s="29">
        <v>-0.21157253304387683</v>
      </c>
      <c r="Y235" s="29">
        <v>927.89623471954246</v>
      </c>
      <c r="Z235" s="29">
        <v>83.79638813447859</v>
      </c>
      <c r="AA235" t="s">
        <v>66</v>
      </c>
      <c r="AB235" t="s">
        <v>78</v>
      </c>
      <c r="AC235" t="s">
        <v>121</v>
      </c>
    </row>
    <row r="236" spans="5:29" hidden="1" x14ac:dyDescent="0.25">
      <c r="E236" s="1" t="s">
        <v>509</v>
      </c>
      <c r="F236" s="1" t="s">
        <v>510</v>
      </c>
      <c r="G236" s="41">
        <v>5.1052469311342351E-2</v>
      </c>
      <c r="H236" s="41">
        <v>3.2612927990173499E-2</v>
      </c>
      <c r="I236" s="41">
        <v>5.1052469311342351E-2</v>
      </c>
      <c r="J236" s="41">
        <v>3.2612927990173499E-2</v>
      </c>
      <c r="K236" s="42">
        <v>12.672428376723484</v>
      </c>
      <c r="L236" s="28">
        <v>34.705602720467041</v>
      </c>
      <c r="M236" s="28">
        <v>29.322883861485987</v>
      </c>
      <c r="N236" s="41">
        <v>0.47656697959035688</v>
      </c>
      <c r="O236" s="29">
        <v>6.050353408095142</v>
      </c>
      <c r="P236" s="41">
        <v>0.31820834513902968</v>
      </c>
      <c r="Q236" s="43" t="e">
        <v>#N/A</v>
      </c>
      <c r="R236" s="29">
        <v>13.661275163352547</v>
      </c>
      <c r="S236" s="44">
        <v>2442375000</v>
      </c>
      <c r="T236" s="44">
        <v>2442375000</v>
      </c>
      <c r="U236" s="44">
        <v>704965120</v>
      </c>
      <c r="V236" s="29">
        <v>9.1089517094177381</v>
      </c>
      <c r="W236" s="29">
        <v>9.2807142385681871</v>
      </c>
      <c r="X236" s="29">
        <v>-95.717927150778749</v>
      </c>
      <c r="Y236" s="29" t="e">
        <v>#N/A</v>
      </c>
      <c r="Z236" s="29">
        <v>0.71843098748743406</v>
      </c>
      <c r="AA236" t="s">
        <v>66</v>
      </c>
      <c r="AB236" t="s">
        <v>78</v>
      </c>
      <c r="AC236" t="s">
        <v>121</v>
      </c>
    </row>
    <row r="237" spans="5:29" hidden="1" x14ac:dyDescent="0.25">
      <c r="E237" s="1" t="s">
        <v>1042</v>
      </c>
      <c r="F237" s="1" t="s">
        <v>1043</v>
      </c>
      <c r="G237" s="41" t="e">
        <v>#N/A</v>
      </c>
      <c r="H237" s="41">
        <v>3.2439279227288384E-2</v>
      </c>
      <c r="I237" s="41" t="e">
        <v>#N/A</v>
      </c>
      <c r="J237" s="41">
        <v>3.2439279227288384E-2</v>
      </c>
      <c r="K237" s="42">
        <v>19.162374238945368</v>
      </c>
      <c r="L237" s="28">
        <v>-5.443037125754576</v>
      </c>
      <c r="M237" s="28">
        <v>17.120930699675512</v>
      </c>
      <c r="N237" s="41">
        <v>0.40199652919663498</v>
      </c>
      <c r="O237" s="29">
        <v>5.5253743807598132</v>
      </c>
      <c r="P237" s="41">
        <v>0.3452757564995837</v>
      </c>
      <c r="Q237" s="43">
        <v>1.1276122948950307E-2</v>
      </c>
      <c r="R237" s="29" t="e">
        <v>#N/A</v>
      </c>
      <c r="S237" s="44">
        <v>4526087000</v>
      </c>
      <c r="T237" s="44">
        <v>4526087000</v>
      </c>
      <c r="U237" s="44">
        <v>2096185472</v>
      </c>
      <c r="V237" s="29">
        <v>11.086507478537923</v>
      </c>
      <c r="W237" s="29">
        <v>11.124146622037024</v>
      </c>
      <c r="X237" s="29">
        <v>-62.177179329291732</v>
      </c>
      <c r="Y237" s="29">
        <v>55.216471783523694</v>
      </c>
      <c r="Z237" s="29">
        <v>1.2065107914704578</v>
      </c>
      <c r="AA237" t="s">
        <v>66</v>
      </c>
      <c r="AB237" t="s">
        <v>78</v>
      </c>
      <c r="AC237" t="s">
        <v>123</v>
      </c>
    </row>
    <row r="238" spans="5:29" hidden="1" x14ac:dyDescent="0.25">
      <c r="E238" s="1" t="s">
        <v>601</v>
      </c>
      <c r="F238" s="1" t="s">
        <v>602</v>
      </c>
      <c r="G238" s="41">
        <v>3.5981851180189532E-2</v>
      </c>
      <c r="H238" s="41">
        <v>3.241415409309608E-2</v>
      </c>
      <c r="I238" s="41">
        <v>3.5981851180189532E-2</v>
      </c>
      <c r="J238" s="41">
        <v>3.241415409309608E-2</v>
      </c>
      <c r="K238" s="42">
        <v>15.890351571257138</v>
      </c>
      <c r="L238" s="28">
        <v>73.7400661501608</v>
      </c>
      <c r="M238" s="28">
        <v>73.933242240874492</v>
      </c>
      <c r="N238" s="41">
        <v>0.22168996285765374</v>
      </c>
      <c r="O238" s="29">
        <v>1.9237250322585835</v>
      </c>
      <c r="P238" s="41">
        <v>0.60086152825606998</v>
      </c>
      <c r="Q238" s="43" t="e">
        <v>#N/A</v>
      </c>
      <c r="R238" s="29">
        <v>3.9461875047106938</v>
      </c>
      <c r="S238" s="44">
        <v>1751889000</v>
      </c>
      <c r="T238" s="44">
        <v>1751889000</v>
      </c>
      <c r="U238" s="44">
        <v>980615168</v>
      </c>
      <c r="V238" s="29">
        <v>5.8655637835599812</v>
      </c>
      <c r="W238" s="29">
        <v>5.8662476300745352</v>
      </c>
      <c r="X238" s="29">
        <v>-3.0185133746574694E-2</v>
      </c>
      <c r="Y238" s="29">
        <v>19.286647694480347</v>
      </c>
      <c r="Z238" s="29">
        <v>0.75134660544772036</v>
      </c>
      <c r="AA238" t="s">
        <v>66</v>
      </c>
      <c r="AB238" t="s">
        <v>78</v>
      </c>
      <c r="AC238" t="s">
        <v>121</v>
      </c>
    </row>
    <row r="239" spans="5:29" hidden="1" x14ac:dyDescent="0.25">
      <c r="E239" s="1" t="s">
        <v>1049</v>
      </c>
      <c r="F239" s="1" t="s">
        <v>1050</v>
      </c>
      <c r="G239" s="41" t="e">
        <v>#N/A</v>
      </c>
      <c r="H239" s="41">
        <v>3.1548394255645949E-2</v>
      </c>
      <c r="I239" s="41" t="e">
        <v>#N/A</v>
      </c>
      <c r="J239" s="41">
        <v>3.1548394255645949E-2</v>
      </c>
      <c r="K239" s="42">
        <v>36.132385767583472</v>
      </c>
      <c r="L239" s="28" t="e">
        <v>#N/A</v>
      </c>
      <c r="M239" s="28">
        <v>89.000411353352533</v>
      </c>
      <c r="N239" s="41">
        <v>0.83395415917335969</v>
      </c>
      <c r="O239" s="29">
        <v>14.71729244541797</v>
      </c>
      <c r="P239" s="41">
        <v>0.15775137375424469</v>
      </c>
      <c r="Q239" s="43" t="e">
        <v>#N/A</v>
      </c>
      <c r="R239" s="29" t="e">
        <v>#N/A</v>
      </c>
      <c r="S239" s="44">
        <v>1369832000</v>
      </c>
      <c r="T239" s="44">
        <v>1369832000</v>
      </c>
      <c r="U239" s="44">
        <v>341966176</v>
      </c>
      <c r="V239" s="29">
        <v>18.788221423299447</v>
      </c>
      <c r="W239" s="29">
        <v>18.8043390444418</v>
      </c>
      <c r="X239" s="29">
        <v>-52.028537465646892</v>
      </c>
      <c r="Y239" s="29" t="e">
        <v>#N/A</v>
      </c>
      <c r="Z239" s="29">
        <v>1.4664989993842363</v>
      </c>
      <c r="AA239" t="s">
        <v>66</v>
      </c>
      <c r="AB239" t="s">
        <v>84</v>
      </c>
      <c r="AC239" t="s">
        <v>208</v>
      </c>
    </row>
    <row r="240" spans="5:29" hidden="1" x14ac:dyDescent="0.25">
      <c r="E240" s="1" t="s">
        <v>674</v>
      </c>
      <c r="F240" s="1" t="s">
        <v>675</v>
      </c>
      <c r="G240" s="41" t="e">
        <v>#N/A</v>
      </c>
      <c r="H240" s="41">
        <v>3.130957815311082E-2</v>
      </c>
      <c r="I240" s="41" t="e">
        <v>#N/A</v>
      </c>
      <c r="J240" s="41">
        <v>2.9466023097723081E-2</v>
      </c>
      <c r="K240" s="42">
        <v>-3.7275304142678567</v>
      </c>
      <c r="L240" s="28" t="e">
        <v>#N/A</v>
      </c>
      <c r="M240" s="28">
        <v>10.237897825116399</v>
      </c>
      <c r="N240" s="41">
        <v>0.42586428345673033</v>
      </c>
      <c r="O240" s="29">
        <v>6.8051794541156241</v>
      </c>
      <c r="P240" s="41">
        <v>0.25558491907084935</v>
      </c>
      <c r="Q240" s="43">
        <v>2.4889271718960191E-2</v>
      </c>
      <c r="R240" s="29" t="e">
        <v>#N/A</v>
      </c>
      <c r="S240" s="44">
        <v>484133000</v>
      </c>
      <c r="T240" s="44">
        <v>514423000</v>
      </c>
      <c r="U240" s="44">
        <v>300154720</v>
      </c>
      <c r="V240" s="29">
        <v>13.25664560498603</v>
      </c>
      <c r="W240" s="29">
        <v>112.02900835452233</v>
      </c>
      <c r="X240" s="29">
        <v>-20.201581371100875</v>
      </c>
      <c r="Y240" s="29">
        <v>97.742499444006228</v>
      </c>
      <c r="Z240" s="29">
        <v>1.4056292150774705</v>
      </c>
      <c r="AA240" t="s">
        <v>77</v>
      </c>
      <c r="AB240" t="s">
        <v>85</v>
      </c>
      <c r="AC240" t="s">
        <v>114</v>
      </c>
    </row>
    <row r="241" spans="2:29" hidden="1" x14ac:dyDescent="0.25">
      <c r="E241" s="1" t="s">
        <v>316</v>
      </c>
      <c r="F241" s="1" t="s">
        <v>317</v>
      </c>
      <c r="G241" s="41">
        <v>4.099092397091799E-2</v>
      </c>
      <c r="H241" s="41">
        <v>3.0691954636885677E-2</v>
      </c>
      <c r="I241" s="41">
        <v>4.099092397091799E-2</v>
      </c>
      <c r="J241" s="41">
        <v>3.0691954636885677E-2</v>
      </c>
      <c r="K241" s="42">
        <v>15.207505743780109</v>
      </c>
      <c r="L241" s="28">
        <v>60.91381687603517</v>
      </c>
      <c r="M241" s="28">
        <v>70.478981228518549</v>
      </c>
      <c r="N241" s="41">
        <v>-0.23466277961287024</v>
      </c>
      <c r="O241" s="29">
        <v>-1.6384502416069229</v>
      </c>
      <c r="P241" s="41">
        <v>0.82928080081148658</v>
      </c>
      <c r="Q241" s="43" t="e">
        <v>#N/A</v>
      </c>
      <c r="R241" s="29">
        <v>-4.8137765268460413</v>
      </c>
      <c r="S241" s="44">
        <v>1041022000</v>
      </c>
      <c r="T241" s="44">
        <v>1041022000</v>
      </c>
      <c r="U241" s="44">
        <v>1399756160</v>
      </c>
      <c r="V241" s="29">
        <v>3.888324542841803</v>
      </c>
      <c r="W241" s="29">
        <v>3.8889233016800584</v>
      </c>
      <c r="X241" s="29">
        <v>2.8197768388459887</v>
      </c>
      <c r="Y241" s="29">
        <v>35.449001143894307</v>
      </c>
      <c r="Z241" s="29">
        <v>0.94703446684664505</v>
      </c>
      <c r="AA241" t="s">
        <v>66</v>
      </c>
      <c r="AB241" t="s">
        <v>78</v>
      </c>
      <c r="AC241" t="s">
        <v>123</v>
      </c>
    </row>
    <row r="242" spans="2:29" hidden="1" x14ac:dyDescent="0.25">
      <c r="E242" s="1" t="s">
        <v>589</v>
      </c>
      <c r="F242" s="1" t="s">
        <v>590</v>
      </c>
      <c r="G242" s="41">
        <v>-2.6741715396690756E-2</v>
      </c>
      <c r="H242" s="41">
        <v>2.9460433161576809E-2</v>
      </c>
      <c r="I242" s="41">
        <v>-2.6741715396690756E-2</v>
      </c>
      <c r="J242" s="41">
        <v>2.9460433161576809E-2</v>
      </c>
      <c r="K242" s="42" t="e">
        <v>#N/A</v>
      </c>
      <c r="L242" s="28">
        <v>3.4974922836729312</v>
      </c>
      <c r="M242" s="28">
        <v>5.1892898348169467</v>
      </c>
      <c r="N242" s="41" t="e">
        <v>#N/A</v>
      </c>
      <c r="O242" s="29" t="e">
        <v>#N/A</v>
      </c>
      <c r="P242" s="41">
        <v>0.56281789336777344</v>
      </c>
      <c r="Q242" s="43" t="e">
        <v>#N/A</v>
      </c>
      <c r="R242" s="29" t="e">
        <v>#N/A</v>
      </c>
      <c r="S242" s="44">
        <v>95484000</v>
      </c>
      <c r="T242" s="44">
        <v>95484000</v>
      </c>
      <c r="U242" s="44">
        <v>222547200</v>
      </c>
      <c r="V242" s="29" t="e">
        <v>#N/A</v>
      </c>
      <c r="W242" s="29" t="e">
        <v>#N/A</v>
      </c>
      <c r="X242" s="29" t="e">
        <v>#N/A</v>
      </c>
      <c r="Y242" s="29" t="e">
        <v>#N/A</v>
      </c>
      <c r="Z242" s="29">
        <v>0.92684500250964774</v>
      </c>
      <c r="AA242" t="s">
        <v>73</v>
      </c>
      <c r="AB242" t="s">
        <v>169</v>
      </c>
      <c r="AC242" t="s">
        <v>231</v>
      </c>
    </row>
    <row r="243" spans="2:29" hidden="1" x14ac:dyDescent="0.25">
      <c r="E243" s="1" t="s">
        <v>633</v>
      </c>
      <c r="F243" s="1" t="s">
        <v>634</v>
      </c>
      <c r="G243" s="41">
        <v>1.8667261587206919E-2</v>
      </c>
      <c r="H243" s="41">
        <v>2.9457675070750148E-2</v>
      </c>
      <c r="I243" s="41">
        <v>1.8173971881011185E-2</v>
      </c>
      <c r="J243" s="41">
        <v>2.83397878316206E-2</v>
      </c>
      <c r="K243" s="42">
        <v>21.548867847928861</v>
      </c>
      <c r="L243" s="28">
        <v>9.0852668103659688</v>
      </c>
      <c r="M243" s="28">
        <v>16.855549962705101</v>
      </c>
      <c r="N243" s="41">
        <v>0.63664830662296201</v>
      </c>
      <c r="O243" s="29">
        <v>6.936873102721175</v>
      </c>
      <c r="P243" s="41">
        <v>0.19028264659909125</v>
      </c>
      <c r="Q243" s="43" t="e">
        <v>#N/A</v>
      </c>
      <c r="R243" s="29">
        <v>60.400090237384873</v>
      </c>
      <c r="S243" s="44">
        <v>2404942000</v>
      </c>
      <c r="T243" s="44">
        <v>2499807000</v>
      </c>
      <c r="U243" s="44">
        <v>402469600</v>
      </c>
      <c r="V243" s="29">
        <v>9.3138698125897523</v>
      </c>
      <c r="W243" s="29">
        <v>18.895441940051924</v>
      </c>
      <c r="X243" s="29">
        <v>26.383856072607717</v>
      </c>
      <c r="Y243" s="29">
        <v>7.5363012866834849</v>
      </c>
      <c r="Z243" s="29">
        <v>1.1943217967512003</v>
      </c>
      <c r="AA243" t="s">
        <v>81</v>
      </c>
      <c r="AB243" t="s">
        <v>87</v>
      </c>
      <c r="AC243" t="s">
        <v>170</v>
      </c>
    </row>
    <row r="244" spans="2:29" hidden="1" x14ac:dyDescent="0.25">
      <c r="E244" s="1" t="s">
        <v>282</v>
      </c>
      <c r="F244" s="1" t="s">
        <v>283</v>
      </c>
      <c r="G244" s="41">
        <v>4.2331188256539899E-2</v>
      </c>
      <c r="H244" s="41">
        <v>2.9264847747584748E-2</v>
      </c>
      <c r="I244" s="41">
        <v>4.2331188256539899E-2</v>
      </c>
      <c r="J244" s="41">
        <v>2.9264847747584748E-2</v>
      </c>
      <c r="K244" s="42" t="e">
        <v>#N/A</v>
      </c>
      <c r="L244" s="28">
        <v>61.105816074123389</v>
      </c>
      <c r="M244" s="28">
        <v>56.032250830734107</v>
      </c>
      <c r="N244" s="41" t="e">
        <v>#N/A</v>
      </c>
      <c r="O244" s="29" t="e">
        <v>#N/A</v>
      </c>
      <c r="P244" s="41">
        <v>0.3016120844763247</v>
      </c>
      <c r="Q244" s="43" t="e">
        <v>#N/A</v>
      </c>
      <c r="R244" s="29" t="e">
        <v>#N/A</v>
      </c>
      <c r="S244" s="44">
        <v>3598071000</v>
      </c>
      <c r="T244" s="44">
        <v>3598071000</v>
      </c>
      <c r="U244" s="44">
        <v>410047680</v>
      </c>
      <c r="V244" s="29" t="e">
        <v>#N/A</v>
      </c>
      <c r="W244" s="29" t="e">
        <v>#N/A</v>
      </c>
      <c r="X244" s="29" t="e">
        <v>#N/A</v>
      </c>
      <c r="Y244" s="29" t="e">
        <v>#N/A</v>
      </c>
      <c r="Z244" s="29">
        <v>0.53557637672437008</v>
      </c>
      <c r="AA244" t="s">
        <v>77</v>
      </c>
      <c r="AB244" t="s">
        <v>90</v>
      </c>
      <c r="AC244" t="s">
        <v>155</v>
      </c>
    </row>
    <row r="245" spans="2:29" hidden="1" x14ac:dyDescent="0.25">
      <c r="E245" s="1" t="s">
        <v>294</v>
      </c>
      <c r="F245" s="1" t="s">
        <v>295</v>
      </c>
      <c r="G245" s="41">
        <v>1.8161078825362605E-2</v>
      </c>
      <c r="H245" s="41">
        <v>2.8637130164853222E-2</v>
      </c>
      <c r="I245" s="41">
        <v>1.8161078825362605E-2</v>
      </c>
      <c r="J245" s="41">
        <v>2.8637130164853222E-2</v>
      </c>
      <c r="K245" s="42">
        <v>5.0187684259881484</v>
      </c>
      <c r="L245" s="28">
        <v>56.149661423827283</v>
      </c>
      <c r="M245" s="28">
        <v>67.609225069208847</v>
      </c>
      <c r="N245" s="41">
        <v>0.47092384210942173</v>
      </c>
      <c r="O245" s="29">
        <v>14.965391138688078</v>
      </c>
      <c r="P245" s="41">
        <v>0.34693986240032326</v>
      </c>
      <c r="Q245" s="43" t="e">
        <v>#N/A</v>
      </c>
      <c r="R245" s="29">
        <v>76.645681651077282</v>
      </c>
      <c r="S245" s="44">
        <v>3061026000</v>
      </c>
      <c r="T245" s="44">
        <v>3061026000</v>
      </c>
      <c r="U245" s="44">
        <v>7364901888</v>
      </c>
      <c r="V245" s="29">
        <v>32.498866172714813</v>
      </c>
      <c r="W245" s="29">
        <v>56.434885072477677</v>
      </c>
      <c r="X245" s="29">
        <v>-26.547255646671022</v>
      </c>
      <c r="Y245" s="29" t="e">
        <v>#N/A</v>
      </c>
      <c r="Z245" s="29">
        <v>1.7326365066450273</v>
      </c>
      <c r="AA245" t="s">
        <v>81</v>
      </c>
      <c r="AB245" t="s">
        <v>87</v>
      </c>
      <c r="AC245" t="s">
        <v>88</v>
      </c>
    </row>
    <row r="246" spans="2:29" hidden="1" x14ac:dyDescent="0.25">
      <c r="E246" s="1" t="s">
        <v>619</v>
      </c>
      <c r="F246" s="1" t="s">
        <v>620</v>
      </c>
      <c r="G246" s="41">
        <v>0.18761561946051622</v>
      </c>
      <c r="H246" s="41">
        <v>2.7912935292740911E-2</v>
      </c>
      <c r="I246" s="41">
        <v>0.18761561946051622</v>
      </c>
      <c r="J246" s="41">
        <v>2.7912935292740911E-2</v>
      </c>
      <c r="K246" s="42">
        <v>1.969993626660083</v>
      </c>
      <c r="L246" s="28">
        <v>15.806364749191108</v>
      </c>
      <c r="M246" s="28">
        <v>12.901754304579436</v>
      </c>
      <c r="N246" s="41">
        <v>-1.8066789868602317E-3</v>
      </c>
      <c r="O246" s="29">
        <v>-2.5943180780122473E-2</v>
      </c>
      <c r="P246" s="41">
        <v>0.56220796529140649</v>
      </c>
      <c r="Q246" s="43" t="e">
        <v>#N/A</v>
      </c>
      <c r="R246" s="29">
        <v>7.2028045241102152</v>
      </c>
      <c r="S246" s="44">
        <v>162362000</v>
      </c>
      <c r="T246" s="44">
        <v>162362000</v>
      </c>
      <c r="U246" s="44">
        <v>917472192</v>
      </c>
      <c r="V246" s="29">
        <v>11.029668036905088</v>
      </c>
      <c r="W246" s="29">
        <v>25.419321263157894</v>
      </c>
      <c r="X246" s="29">
        <v>2.6618296585018384</v>
      </c>
      <c r="Y246" s="29">
        <v>65.191364894334214</v>
      </c>
      <c r="Z246" s="29">
        <v>1.3162253918526046</v>
      </c>
      <c r="AA246" t="s">
        <v>73</v>
      </c>
      <c r="AB246" t="s">
        <v>98</v>
      </c>
      <c r="AC246" t="s">
        <v>99</v>
      </c>
    </row>
    <row r="247" spans="2:29" hidden="1" x14ac:dyDescent="0.25">
      <c r="E247" s="1" t="s">
        <v>473</v>
      </c>
      <c r="F247" s="1" t="s">
        <v>474</v>
      </c>
      <c r="G247" s="41">
        <v>1.7326280511119764E-2</v>
      </c>
      <c r="H247" s="41">
        <v>2.6507150777820582E-2</v>
      </c>
      <c r="I247" s="41">
        <v>1.7326280511119764E-2</v>
      </c>
      <c r="J247" s="41">
        <v>2.6507150777820582E-2</v>
      </c>
      <c r="K247" s="42">
        <v>2.5709847562851613</v>
      </c>
      <c r="L247" s="28">
        <v>34.227870289385216</v>
      </c>
      <c r="M247" s="28">
        <v>42.414978715646825</v>
      </c>
      <c r="N247" s="41">
        <v>0.42201641718644495</v>
      </c>
      <c r="O247" s="29">
        <v>12.379300902305406</v>
      </c>
      <c r="P247" s="41">
        <v>0.40745628679277268</v>
      </c>
      <c r="Q247" s="43" t="e">
        <v>#N/A</v>
      </c>
      <c r="R247" s="29">
        <v>8.4210763368637451</v>
      </c>
      <c r="S247" s="44">
        <v>13674876000</v>
      </c>
      <c r="T247" s="44">
        <v>13674876000</v>
      </c>
      <c r="U247" s="44">
        <v>3037232384</v>
      </c>
      <c r="V247" s="29">
        <v>19.960298199253092</v>
      </c>
      <c r="W247" s="29">
        <v>25.235283064231798</v>
      </c>
      <c r="X247" s="29">
        <v>4.428867567349104</v>
      </c>
      <c r="Y247" s="29">
        <v>28.561511052520576</v>
      </c>
      <c r="Z247" s="29">
        <v>0.51195875771806765</v>
      </c>
      <c r="AA247" t="s">
        <v>66</v>
      </c>
      <c r="AB247" t="s">
        <v>78</v>
      </c>
      <c r="AC247" t="s">
        <v>121</v>
      </c>
    </row>
    <row r="248" spans="2:29" hidden="1" x14ac:dyDescent="0.25">
      <c r="E248" s="1" t="s">
        <v>274</v>
      </c>
      <c r="F248" s="1" t="s">
        <v>275</v>
      </c>
      <c r="G248" s="41">
        <v>2.6647728856720981E-2</v>
      </c>
      <c r="H248" s="41">
        <v>2.5099177795845608E-2</v>
      </c>
      <c r="I248" s="41">
        <v>2.5383086211782129E-2</v>
      </c>
      <c r="J248" s="41">
        <v>2.4130669164298572E-2</v>
      </c>
      <c r="K248" s="42">
        <v>-0.71514024546705657</v>
      </c>
      <c r="L248" s="28">
        <v>14.570799622823349</v>
      </c>
      <c r="M248" s="28">
        <v>14.430484379560646</v>
      </c>
      <c r="N248" s="41">
        <v>0.49580742089863072</v>
      </c>
      <c r="O248" s="29">
        <v>4.1380793560439031</v>
      </c>
      <c r="P248" s="41">
        <v>0.25997592569169298</v>
      </c>
      <c r="Q248" s="43" t="e">
        <v>#N/A</v>
      </c>
      <c r="R248" s="29">
        <v>15.435009875637757</v>
      </c>
      <c r="S248" s="44">
        <v>1507898000</v>
      </c>
      <c r="T248" s="44">
        <v>1568419000</v>
      </c>
      <c r="U248" s="44">
        <v>335018720</v>
      </c>
      <c r="V248" s="29">
        <v>5.4860526421281337</v>
      </c>
      <c r="W248" s="29">
        <v>34.443402713110011</v>
      </c>
      <c r="X248" s="29">
        <v>55.091548317061211</v>
      </c>
      <c r="Y248" s="29">
        <v>96.500766342331261</v>
      </c>
      <c r="Z248" s="29">
        <v>0.66246620088059127</v>
      </c>
      <c r="AA248" t="s">
        <v>76</v>
      </c>
      <c r="AB248" t="s">
        <v>82</v>
      </c>
      <c r="AC248" t="s">
        <v>171</v>
      </c>
    </row>
    <row r="249" spans="2:29" hidden="1" x14ac:dyDescent="0.25">
      <c r="E249" s="1" t="s">
        <v>391</v>
      </c>
      <c r="F249" s="1" t="s">
        <v>392</v>
      </c>
      <c r="G249" s="41">
        <v>20.897253235082644</v>
      </c>
      <c r="H249" s="41">
        <v>2.1662919935231329E-2</v>
      </c>
      <c r="I249" s="41">
        <v>0.29778431453912885</v>
      </c>
      <c r="J249" s="41">
        <v>-0.31339549692972479</v>
      </c>
      <c r="K249" s="42">
        <v>-4.939672430184654</v>
      </c>
      <c r="L249" s="28">
        <v>9.821258272021586</v>
      </c>
      <c r="M249" s="28">
        <v>5.8515605297417403</v>
      </c>
      <c r="N249" s="41">
        <v>-0.70021365553570447</v>
      </c>
      <c r="O249" s="29">
        <v>36.494864164346744</v>
      </c>
      <c r="P249" s="41">
        <v>0.56367421898785142</v>
      </c>
      <c r="Q249" s="43" t="e">
        <v>#N/A</v>
      </c>
      <c r="R249" s="29">
        <v>4.7827909730524043</v>
      </c>
      <c r="S249" s="44">
        <v>-63611000</v>
      </c>
      <c r="T249" s="44">
        <v>4397000</v>
      </c>
      <c r="U249" s="44">
        <v>735736128</v>
      </c>
      <c r="V249" s="29" t="e">
        <v>#N/A</v>
      </c>
      <c r="W249" s="29" t="e">
        <v>#N/A</v>
      </c>
      <c r="X249" s="29">
        <v>0.9549619398328637</v>
      </c>
      <c r="Y249" s="29" t="e">
        <v>#N/A</v>
      </c>
      <c r="Z249" s="29">
        <v>2.4015724222799619</v>
      </c>
      <c r="AA249" t="s">
        <v>91</v>
      </c>
      <c r="AB249" t="s">
        <v>94</v>
      </c>
      <c r="AC249" t="s">
        <v>126</v>
      </c>
    </row>
    <row r="250" spans="2:29" hidden="1" x14ac:dyDescent="0.25">
      <c r="E250" s="1" t="s">
        <v>296</v>
      </c>
      <c r="F250" s="1" t="s">
        <v>297</v>
      </c>
      <c r="G250" s="41">
        <v>2.8441491430676914E-2</v>
      </c>
      <c r="H250" s="41">
        <v>2.1336836621441028E-2</v>
      </c>
      <c r="I250" s="41">
        <v>2.8441491430676914E-2</v>
      </c>
      <c r="J250" s="41">
        <v>2.1336836621441028E-2</v>
      </c>
      <c r="K250" s="42" t="e">
        <v>#N/A</v>
      </c>
      <c r="L250" s="28">
        <v>15.198298970814729</v>
      </c>
      <c r="M250" s="28">
        <v>11.483418277425056</v>
      </c>
      <c r="N250" s="41">
        <v>0.7509987039719449</v>
      </c>
      <c r="O250" s="29" t="e">
        <v>#N/A</v>
      </c>
      <c r="P250" s="41">
        <v>0.19272223069299385</v>
      </c>
      <c r="Q250" s="43" t="e">
        <v>#N/A</v>
      </c>
      <c r="R250" s="29" t="e">
        <v>#N/A</v>
      </c>
      <c r="S250" s="44">
        <v>1192023000</v>
      </c>
      <c r="T250" s="44">
        <v>1192023000</v>
      </c>
      <c r="U250" s="44">
        <v>263379248</v>
      </c>
      <c r="V250" s="29" t="e">
        <v>#N/A</v>
      </c>
      <c r="W250" s="29" t="e">
        <v>#N/A</v>
      </c>
      <c r="X250" s="29" t="e">
        <v>#N/A</v>
      </c>
      <c r="Y250" s="29" t="e">
        <v>#N/A</v>
      </c>
      <c r="Z250" s="29">
        <v>1.3411244837029404</v>
      </c>
      <c r="AA250" t="s">
        <v>76</v>
      </c>
      <c r="AB250" t="s">
        <v>131</v>
      </c>
      <c r="AC250" t="s">
        <v>132</v>
      </c>
    </row>
    <row r="251" spans="2:29" hidden="1" x14ac:dyDescent="0.25">
      <c r="E251" s="1" t="s">
        <v>720</v>
      </c>
      <c r="F251" s="1" t="s">
        <v>721</v>
      </c>
      <c r="G251" s="41">
        <v>2.3966902895968128E-2</v>
      </c>
      <c r="H251" s="41">
        <v>2.0292120934175508E-2</v>
      </c>
      <c r="I251" s="41">
        <v>2.3966902895968128E-2</v>
      </c>
      <c r="J251" s="41">
        <v>2.0292120934175508E-2</v>
      </c>
      <c r="K251" s="42" t="e">
        <v>#N/A</v>
      </c>
      <c r="L251" s="28">
        <v>43.387626721585129</v>
      </c>
      <c r="M251" s="28">
        <v>43.419059865695097</v>
      </c>
      <c r="N251" s="41" t="e">
        <v>#N/A</v>
      </c>
      <c r="O251" s="29" t="e">
        <v>#N/A</v>
      </c>
      <c r="P251" s="41">
        <v>0.2838478471559619</v>
      </c>
      <c r="Q251" s="43" t="e">
        <v>#N/A</v>
      </c>
      <c r="R251" s="29" t="e">
        <v>#N/A</v>
      </c>
      <c r="S251" s="44">
        <v>1439130000</v>
      </c>
      <c r="T251" s="44">
        <v>1439130000</v>
      </c>
      <c r="U251" s="44">
        <v>432044160</v>
      </c>
      <c r="V251" s="29" t="e">
        <v>#N/A</v>
      </c>
      <c r="W251" s="29" t="e">
        <v>#N/A</v>
      </c>
      <c r="X251" s="29" t="e">
        <v>#N/A</v>
      </c>
      <c r="Y251" s="29" t="e">
        <v>#N/A</v>
      </c>
      <c r="Z251" s="29">
        <v>0.63099467139937782</v>
      </c>
      <c r="AA251" t="s">
        <v>66</v>
      </c>
      <c r="AB251" t="s">
        <v>78</v>
      </c>
      <c r="AC251" t="s">
        <v>121</v>
      </c>
    </row>
    <row r="252" spans="2:29" hidden="1" x14ac:dyDescent="0.25">
      <c r="E252" s="1" t="s">
        <v>467</v>
      </c>
      <c r="F252" s="1" t="s">
        <v>468</v>
      </c>
      <c r="G252" s="41">
        <v>2.3233429873414375E-2</v>
      </c>
      <c r="H252" s="41">
        <v>1.88593405505991E-2</v>
      </c>
      <c r="I252" s="41">
        <v>2.174296181622893E-2</v>
      </c>
      <c r="J252" s="41">
        <v>1.7591788997589966E-2</v>
      </c>
      <c r="K252" s="42">
        <v>-6.5345449844987167</v>
      </c>
      <c r="L252" s="28">
        <v>3.3471925102814497</v>
      </c>
      <c r="M252" s="28">
        <v>3.0068662455369406</v>
      </c>
      <c r="N252" s="41">
        <v>0.22585557447590868</v>
      </c>
      <c r="O252" s="29">
        <v>6.8437624353362532</v>
      </c>
      <c r="P252" s="41">
        <v>0.2640813203536147</v>
      </c>
      <c r="Q252" s="43" t="e">
        <v>#N/A</v>
      </c>
      <c r="R252" s="29">
        <v>6.7230827032348888</v>
      </c>
      <c r="S252" s="44">
        <v>828661000</v>
      </c>
      <c r="T252" s="44">
        <v>888369000</v>
      </c>
      <c r="U252" s="44">
        <v>592644736</v>
      </c>
      <c r="V252" s="29">
        <v>17.087192200557105</v>
      </c>
      <c r="W252" s="29">
        <v>90.846503526093116</v>
      </c>
      <c r="X252" s="29">
        <v>10.156675043849541</v>
      </c>
      <c r="Y252" s="29" t="e">
        <v>#N/A</v>
      </c>
      <c r="Z252" s="29">
        <v>1.256614940694925</v>
      </c>
      <c r="AA252" t="s">
        <v>77</v>
      </c>
      <c r="AB252" t="s">
        <v>199</v>
      </c>
      <c r="AC252" t="s">
        <v>205</v>
      </c>
    </row>
    <row r="253" spans="2:29" hidden="1" x14ac:dyDescent="0.25">
      <c r="E253" s="1" t="s">
        <v>330</v>
      </c>
      <c r="F253" s="1" t="s">
        <v>331</v>
      </c>
      <c r="G253" s="41">
        <v>5.5103069118845063E-2</v>
      </c>
      <c r="H253" s="41">
        <v>1.8559917238480873E-2</v>
      </c>
      <c r="I253" s="41">
        <v>5.5097126466001359E-2</v>
      </c>
      <c r="J253" s="41">
        <v>1.853020397426235E-2</v>
      </c>
      <c r="K253" s="42" t="e">
        <v>#N/A</v>
      </c>
      <c r="L253" s="28">
        <v>25.997774557174399</v>
      </c>
      <c r="M253" s="28">
        <v>22.960678576721808</v>
      </c>
      <c r="N253" s="41" t="e">
        <v>#N/A</v>
      </c>
      <c r="O253" s="29" t="e">
        <v>#N/A</v>
      </c>
      <c r="P253" s="41">
        <v>0.78602291992338014</v>
      </c>
      <c r="Q253" s="43" t="e">
        <v>#N/A</v>
      </c>
      <c r="R253" s="29" t="e">
        <v>#N/A</v>
      </c>
      <c r="S253" s="44">
        <v>618645000</v>
      </c>
      <c r="T253" s="44">
        <v>619637000</v>
      </c>
      <c r="U253" s="44">
        <v>591219072</v>
      </c>
      <c r="V253" s="29" t="e">
        <v>#N/A</v>
      </c>
      <c r="W253" s="29" t="e">
        <v>#N/A</v>
      </c>
      <c r="X253" s="29" t="e">
        <v>#N/A</v>
      </c>
      <c r="Y253" s="29" t="e">
        <v>#N/A</v>
      </c>
      <c r="Z253" s="29">
        <v>0.70519087569470618</v>
      </c>
      <c r="AA253" t="s">
        <v>77</v>
      </c>
      <c r="AB253" t="s">
        <v>102</v>
      </c>
      <c r="AC253" t="s">
        <v>112</v>
      </c>
    </row>
    <row r="254" spans="2:29" hidden="1" x14ac:dyDescent="0.25">
      <c r="E254" s="1" t="s">
        <v>395</v>
      </c>
      <c r="F254" s="1" t="s">
        <v>396</v>
      </c>
      <c r="G254" s="41">
        <v>2.7202088469967835E-2</v>
      </c>
      <c r="H254" s="41">
        <v>1.4407256890094379E-2</v>
      </c>
      <c r="I254" s="41">
        <v>2.5636586004702609E-2</v>
      </c>
      <c r="J254" s="41">
        <v>1.3850917667726429E-2</v>
      </c>
      <c r="K254" s="42">
        <v>0.96418470505541276</v>
      </c>
      <c r="L254" s="28">
        <v>6.2819167096510711</v>
      </c>
      <c r="M254" s="28">
        <v>6.217321743720003</v>
      </c>
      <c r="N254" s="41">
        <v>0.11084559500711243</v>
      </c>
      <c r="O254" s="29">
        <v>1.9220916658405096</v>
      </c>
      <c r="P254" s="41">
        <v>0.62867940558236957</v>
      </c>
      <c r="Q254" s="43" t="e">
        <v>#N/A</v>
      </c>
      <c r="R254" s="29">
        <v>5.5417867669354912</v>
      </c>
      <c r="S254" s="44">
        <v>281301760.80000001</v>
      </c>
      <c r="T254" s="44">
        <v>292600593.60000002</v>
      </c>
      <c r="U254" s="44">
        <v>232632480</v>
      </c>
      <c r="V254" s="29">
        <v>10.386945747692396</v>
      </c>
      <c r="W254" s="29">
        <v>49.355688102654142</v>
      </c>
      <c r="X254" s="29">
        <v>-10.425371258974041</v>
      </c>
      <c r="Y254" s="29">
        <v>194.23853827439297</v>
      </c>
      <c r="Z254" s="29">
        <v>0.76317724531671793</v>
      </c>
      <c r="AA254" t="s">
        <v>77</v>
      </c>
      <c r="AB254" t="s">
        <v>199</v>
      </c>
      <c r="AC254" t="s">
        <v>205</v>
      </c>
    </row>
    <row r="255" spans="2:29" s="61" customFormat="1" hidden="1" x14ac:dyDescent="0.25">
      <c r="B255" s="28"/>
      <c r="C255"/>
      <c r="D255"/>
      <c r="E255" s="1" t="s">
        <v>485</v>
      </c>
      <c r="F255" s="1" t="s">
        <v>486</v>
      </c>
      <c r="G255" s="41">
        <v>1.2235955466626745E-4</v>
      </c>
      <c r="H255" s="41">
        <v>1.4177316670774556E-2</v>
      </c>
      <c r="I255" s="41">
        <v>9.9982056166771774E-5</v>
      </c>
      <c r="J255" s="41">
        <v>1.4121770332589666E-2</v>
      </c>
      <c r="K255" s="42">
        <v>12.015988169611761</v>
      </c>
      <c r="L255" s="28">
        <v>-8.2145411413764471</v>
      </c>
      <c r="M255" s="28">
        <v>15.027567873581608</v>
      </c>
      <c r="N255" s="41">
        <v>0.41673478284562149</v>
      </c>
      <c r="O255" s="29">
        <v>12.675782953851522</v>
      </c>
      <c r="P255" s="41">
        <v>0.40306698872297736</v>
      </c>
      <c r="Q255" s="43" t="e">
        <v>#N/A</v>
      </c>
      <c r="R255" s="29">
        <v>54.850843964040031</v>
      </c>
      <c r="S255" s="44">
        <v>2649373000</v>
      </c>
      <c r="T255" s="44">
        <v>2659794000</v>
      </c>
      <c r="U255" s="44">
        <v>1218451456</v>
      </c>
      <c r="V255" s="29">
        <v>24.157432225420919</v>
      </c>
      <c r="W255" s="29">
        <v>26.814819947709886</v>
      </c>
      <c r="X255" s="29">
        <v>-8.1170242370328793</v>
      </c>
      <c r="Y255" s="29">
        <v>9.7518604544846177</v>
      </c>
      <c r="Z255" s="29">
        <v>0.93273380914412873</v>
      </c>
      <c r="AA255" t="s">
        <v>76</v>
      </c>
      <c r="AB255" t="s">
        <v>209</v>
      </c>
      <c r="AC255" t="s">
        <v>210</v>
      </c>
    </row>
    <row r="256" spans="2:29" hidden="1" x14ac:dyDescent="0.25">
      <c r="E256" s="1" t="s">
        <v>894</v>
      </c>
      <c r="F256" s="1" t="s">
        <v>895</v>
      </c>
      <c r="G256" s="41">
        <v>5.4505274618862568E-3</v>
      </c>
      <c r="H256" s="41">
        <v>1.2457089214066743E-2</v>
      </c>
      <c r="I256" s="41">
        <v>5.4505274618862568E-3</v>
      </c>
      <c r="J256" s="41">
        <v>1.2457089214066743E-2</v>
      </c>
      <c r="K256" s="42" t="e">
        <v>#N/A</v>
      </c>
      <c r="L256" s="28" t="e">
        <v>#N/A</v>
      </c>
      <c r="M256" s="28" t="e">
        <v>#N/A</v>
      </c>
      <c r="N256" s="41">
        <v>0.63283107962809093</v>
      </c>
      <c r="O256" s="29" t="e">
        <v>#N/A</v>
      </c>
      <c r="P256" s="41">
        <v>0.31308063077449672</v>
      </c>
      <c r="Q256" s="43" t="e">
        <v>#N/A</v>
      </c>
      <c r="R256" s="29" t="e">
        <v>#N/A</v>
      </c>
      <c r="S256" s="44">
        <v>1263377000</v>
      </c>
      <c r="T256" s="44">
        <v>1263377000</v>
      </c>
      <c r="U256" s="44">
        <v>318173472</v>
      </c>
      <c r="V256" s="29" t="e">
        <v>#N/A</v>
      </c>
      <c r="W256" s="29" t="e">
        <v>#N/A</v>
      </c>
      <c r="X256" s="29" t="e">
        <v>#N/A</v>
      </c>
      <c r="Y256" s="29" t="e">
        <v>#N/A</v>
      </c>
      <c r="Z256" s="29">
        <v>0.3198173141736253</v>
      </c>
      <c r="AA256" t="s">
        <v>66</v>
      </c>
      <c r="AB256" t="s">
        <v>176</v>
      </c>
      <c r="AC256" t="s">
        <v>236</v>
      </c>
    </row>
    <row r="257" spans="2:29" hidden="1" x14ac:dyDescent="0.25">
      <c r="E257" s="1" t="s">
        <v>571</v>
      </c>
      <c r="F257" s="1" t="s">
        <v>572</v>
      </c>
      <c r="G257" s="41">
        <v>9.8350259067492268E-3</v>
      </c>
      <c r="H257" s="41">
        <v>1.1971790657897437E-2</v>
      </c>
      <c r="I257" s="41">
        <v>9.4140120362302838E-3</v>
      </c>
      <c r="J257" s="41">
        <v>1.1453297319535625E-2</v>
      </c>
      <c r="K257" s="42" t="e">
        <v>#N/A</v>
      </c>
      <c r="L257" s="28">
        <v>3.4975700910537739</v>
      </c>
      <c r="M257" s="28">
        <v>4.8308023321710909</v>
      </c>
      <c r="N257" s="41" t="e">
        <v>#N/A</v>
      </c>
      <c r="O257" s="29" t="e">
        <v>#N/A</v>
      </c>
      <c r="P257" s="41">
        <v>0.55314124000098741</v>
      </c>
      <c r="Q257" s="43" t="e">
        <v>#N/A</v>
      </c>
      <c r="R257" s="29" t="e">
        <v>#N/A</v>
      </c>
      <c r="S257" s="44">
        <v>925509000</v>
      </c>
      <c r="T257" s="44">
        <v>967407000</v>
      </c>
      <c r="U257" s="44">
        <v>489414080</v>
      </c>
      <c r="V257" s="29" t="e">
        <v>#N/A</v>
      </c>
      <c r="W257" s="29" t="e">
        <v>#N/A</v>
      </c>
      <c r="X257" s="29" t="e">
        <v>#N/A</v>
      </c>
      <c r="Y257" s="29" t="e">
        <v>#N/A</v>
      </c>
      <c r="Z257" s="29">
        <v>0.65003974714083257</v>
      </c>
      <c r="AA257" t="s">
        <v>73</v>
      </c>
      <c r="AB257" t="s">
        <v>127</v>
      </c>
      <c r="AC257" t="s">
        <v>128</v>
      </c>
    </row>
    <row r="258" spans="2:29" hidden="1" x14ac:dyDescent="0.25">
      <c r="E258" s="1" t="s">
        <v>718</v>
      </c>
      <c r="F258" s="1" t="s">
        <v>719</v>
      </c>
      <c r="G258" s="41">
        <v>4.8221796233989311E-2</v>
      </c>
      <c r="H258" s="41">
        <v>1.175615508162726E-2</v>
      </c>
      <c r="I258" s="41">
        <v>2.8985269358634786E-2</v>
      </c>
      <c r="J258" s="41">
        <v>1.0519936370985807E-2</v>
      </c>
      <c r="K258" s="42" t="e">
        <v>#N/A</v>
      </c>
      <c r="L258" s="28">
        <v>21.202859664428555</v>
      </c>
      <c r="M258" s="28">
        <v>34.030952426878585</v>
      </c>
      <c r="N258" s="41">
        <v>0.86606956430957682</v>
      </c>
      <c r="O258" s="29" t="e">
        <v>#N/A</v>
      </c>
      <c r="P258" s="41">
        <v>8.4290227789575803E-2</v>
      </c>
      <c r="Q258" s="43" t="e">
        <v>#N/A</v>
      </c>
      <c r="R258" s="29" t="e">
        <v>#N/A</v>
      </c>
      <c r="S258" s="44">
        <v>786992000</v>
      </c>
      <c r="T258" s="44">
        <v>879473000</v>
      </c>
      <c r="U258" s="44">
        <v>502700000</v>
      </c>
      <c r="V258" s="29" t="e">
        <v>#N/A</v>
      </c>
      <c r="W258" s="29" t="e">
        <v>#N/A</v>
      </c>
      <c r="X258" s="29" t="e">
        <v>#N/A</v>
      </c>
      <c r="Y258" s="29" t="e">
        <v>#N/A</v>
      </c>
      <c r="Z258" s="29">
        <v>4.8048576188260332</v>
      </c>
      <c r="AA258" t="s">
        <v>76</v>
      </c>
      <c r="AB258" t="s">
        <v>209</v>
      </c>
      <c r="AC258" t="s">
        <v>227</v>
      </c>
    </row>
    <row r="259" spans="2:29" hidden="1" x14ac:dyDescent="0.25">
      <c r="E259" s="1" t="s">
        <v>525</v>
      </c>
      <c r="F259" s="1" t="s">
        <v>526</v>
      </c>
      <c r="G259" s="41">
        <v>3.9596019989857432E-3</v>
      </c>
      <c r="H259" s="41">
        <v>1.0475363989333084E-2</v>
      </c>
      <c r="I259" s="41">
        <v>3.9596019989857432E-3</v>
      </c>
      <c r="J259" s="41">
        <v>1.0475363989333084E-2</v>
      </c>
      <c r="K259" s="42">
        <v>14.717277345195024</v>
      </c>
      <c r="L259" s="28">
        <v>-113.27035711783658</v>
      </c>
      <c r="M259" s="28">
        <v>3.391988315059165</v>
      </c>
      <c r="N259" s="41">
        <v>0.59415992528625727</v>
      </c>
      <c r="O259" s="29">
        <v>8.9099008798307153</v>
      </c>
      <c r="P259" s="41">
        <v>0.30235485685745533</v>
      </c>
      <c r="Q259" s="43" t="e">
        <v>#N/A</v>
      </c>
      <c r="R259" s="29" t="e">
        <v>#N/A</v>
      </c>
      <c r="S259" s="44">
        <v>600361000</v>
      </c>
      <c r="T259" s="44">
        <v>600361000</v>
      </c>
      <c r="U259" s="44">
        <v>221999712</v>
      </c>
      <c r="V259" s="29">
        <v>12.000441474551732</v>
      </c>
      <c r="W259" s="29">
        <v>12.104752109867581</v>
      </c>
      <c r="X259" s="29">
        <v>-154.2362361262883</v>
      </c>
      <c r="Y259" s="29" t="e">
        <v>#N/A</v>
      </c>
      <c r="Z259" s="29">
        <v>0.68492979213362393</v>
      </c>
      <c r="AA259" t="s">
        <v>66</v>
      </c>
      <c r="AB259" t="s">
        <v>86</v>
      </c>
      <c r="AC259" t="s">
        <v>238</v>
      </c>
    </row>
    <row r="260" spans="2:29" s="61" customFormat="1" hidden="1" x14ac:dyDescent="0.25">
      <c r="B260" s="28"/>
      <c r="C260"/>
      <c r="D260"/>
      <c r="E260" s="1" t="s">
        <v>617</v>
      </c>
      <c r="F260" s="1" t="s">
        <v>618</v>
      </c>
      <c r="G260" s="41">
        <v>4.9562094336003927E-2</v>
      </c>
      <c r="H260" s="41">
        <v>8.9895395083115764E-3</v>
      </c>
      <c r="I260" s="41">
        <v>4.3923214834654958E-2</v>
      </c>
      <c r="J260" s="41">
        <v>8.6741849663156401E-3</v>
      </c>
      <c r="K260" s="42">
        <v>11.321940260463903</v>
      </c>
      <c r="L260" s="28">
        <v>8.3418110358872664</v>
      </c>
      <c r="M260" s="28">
        <v>6.257831278645539</v>
      </c>
      <c r="N260" s="41">
        <v>0.58498893774329963</v>
      </c>
      <c r="O260" s="29">
        <v>8.526143924241806</v>
      </c>
      <c r="P260" s="41">
        <v>0.24290340136054422</v>
      </c>
      <c r="Q260" s="43" t="e">
        <v>#N/A</v>
      </c>
      <c r="R260" s="29">
        <v>16.422037842616906</v>
      </c>
      <c r="S260" s="44">
        <v>286889000</v>
      </c>
      <c r="T260" s="44">
        <v>297319000</v>
      </c>
      <c r="U260" s="44">
        <v>376979872</v>
      </c>
      <c r="V260" s="29">
        <v>12.603881301277603</v>
      </c>
      <c r="W260" s="29">
        <v>76.336832632880103</v>
      </c>
      <c r="X260" s="29">
        <v>-7.5047894311329371</v>
      </c>
      <c r="Y260" s="29">
        <v>14.070917400608216</v>
      </c>
      <c r="Z260" s="29">
        <v>1.117710197293788</v>
      </c>
      <c r="AA260" t="s">
        <v>77</v>
      </c>
      <c r="AB260" t="s">
        <v>102</v>
      </c>
      <c r="AC260" t="s">
        <v>112</v>
      </c>
    </row>
    <row r="261" spans="2:29" hidden="1" x14ac:dyDescent="0.25">
      <c r="E261" s="1" t="s">
        <v>292</v>
      </c>
      <c r="F261" s="1" t="s">
        <v>293</v>
      </c>
      <c r="G261" s="41">
        <v>7.024535705483731E-2</v>
      </c>
      <c r="H261" s="41">
        <v>8.7253458251684186E-3</v>
      </c>
      <c r="I261" s="41">
        <v>6.7721780460183068E-2</v>
      </c>
      <c r="J261" s="41">
        <v>8.4877195950709191E-3</v>
      </c>
      <c r="K261" s="42" t="e">
        <v>#N/A</v>
      </c>
      <c r="L261" s="28">
        <v>8.1046029574604397</v>
      </c>
      <c r="M261" s="28">
        <v>4.8815479176531804</v>
      </c>
      <c r="N261" s="41" t="e">
        <v>#N/A</v>
      </c>
      <c r="O261" s="29" t="e">
        <v>#N/A</v>
      </c>
      <c r="P261" s="41">
        <v>0.55787860858200056</v>
      </c>
      <c r="Q261" s="43" t="e">
        <v>#N/A</v>
      </c>
      <c r="R261" s="29" t="e">
        <v>#N/A</v>
      </c>
      <c r="S261" s="44">
        <v>172486000</v>
      </c>
      <c r="T261" s="44">
        <v>177315000</v>
      </c>
      <c r="U261" s="44">
        <v>230506224</v>
      </c>
      <c r="V261" s="29" t="e">
        <v>#N/A</v>
      </c>
      <c r="W261" s="29" t="e">
        <v>#N/A</v>
      </c>
      <c r="X261" s="29" t="e">
        <v>#N/A</v>
      </c>
      <c r="Y261" s="29" t="e">
        <v>#N/A</v>
      </c>
      <c r="Z261" s="29">
        <v>0.49037078073113499</v>
      </c>
      <c r="AA261" t="s">
        <v>73</v>
      </c>
      <c r="AB261" t="s">
        <v>169</v>
      </c>
      <c r="AC261" t="s">
        <v>192</v>
      </c>
    </row>
    <row r="262" spans="2:29" hidden="1" x14ac:dyDescent="0.25">
      <c r="E262" s="1" t="s">
        <v>704</v>
      </c>
      <c r="F262" s="1" t="s">
        <v>705</v>
      </c>
      <c r="G262" s="41">
        <v>5.1201081235556258E-2</v>
      </c>
      <c r="H262" s="41">
        <v>6.0992907801418438E-3</v>
      </c>
      <c r="I262" s="41">
        <v>5.0839788919545902E-2</v>
      </c>
      <c r="J262" s="41">
        <v>5.7625301527740556E-3</v>
      </c>
      <c r="K262" s="42">
        <v>4.3248288736776601</v>
      </c>
      <c r="L262" s="28">
        <v>22.739819425287646</v>
      </c>
      <c r="M262" s="28">
        <v>13.129216398546964</v>
      </c>
      <c r="N262" s="41">
        <v>0.36494203149333793</v>
      </c>
      <c r="O262" s="29">
        <v>14.445205479452055</v>
      </c>
      <c r="P262" s="41">
        <v>0.43859649122807015</v>
      </c>
      <c r="Q262" s="43" t="e">
        <v>#N/A</v>
      </c>
      <c r="R262" s="29">
        <v>11.157506211125172</v>
      </c>
      <c r="S262" s="44">
        <v>7050000000</v>
      </c>
      <c r="T262" s="44">
        <v>7462000000</v>
      </c>
      <c r="U262" s="44">
        <v>5319175168</v>
      </c>
      <c r="V262" s="29">
        <v>37.404709479452052</v>
      </c>
      <c r="W262" s="29">
        <v>260.05178971428569</v>
      </c>
      <c r="X262" s="29">
        <v>-12.896736398661124</v>
      </c>
      <c r="Y262" s="29">
        <v>39.193548387096776</v>
      </c>
      <c r="Z262" s="29">
        <v>1.4109875161707635</v>
      </c>
      <c r="AA262" t="s">
        <v>81</v>
      </c>
      <c r="AB262" t="s">
        <v>87</v>
      </c>
      <c r="AC262" t="s">
        <v>88</v>
      </c>
    </row>
    <row r="263" spans="2:29" hidden="1" x14ac:dyDescent="0.25">
      <c r="E263" s="1" t="s">
        <v>1020</v>
      </c>
      <c r="F263" s="1" t="s">
        <v>1021</v>
      </c>
      <c r="G263" s="41" t="e">
        <v>#N/A</v>
      </c>
      <c r="H263" s="41">
        <v>3.8828125294074725E-3</v>
      </c>
      <c r="I263" s="41" t="e">
        <v>#N/A</v>
      </c>
      <c r="J263" s="41">
        <v>3.8828125294074725E-3</v>
      </c>
      <c r="K263" s="42" t="e">
        <v>#N/A</v>
      </c>
      <c r="L263" s="28" t="e">
        <v>#N/A</v>
      </c>
      <c r="M263" s="28">
        <v>1.7720340803322114</v>
      </c>
      <c r="N263" s="41" t="e">
        <v>#N/A</v>
      </c>
      <c r="O263" s="29" t="e">
        <v>#N/A</v>
      </c>
      <c r="P263" s="41">
        <v>0.40840480389461475</v>
      </c>
      <c r="Q263" s="43" t="e">
        <v>#N/A</v>
      </c>
      <c r="R263" s="29" t="e">
        <v>#N/A</v>
      </c>
      <c r="S263" s="44">
        <v>350423878.69999993</v>
      </c>
      <c r="T263" s="44">
        <v>350423878.69999993</v>
      </c>
      <c r="U263" s="44">
        <v>252606928</v>
      </c>
      <c r="V263" s="29" t="e">
        <v>#N/A</v>
      </c>
      <c r="W263" s="29" t="e">
        <v>#N/A</v>
      </c>
      <c r="X263" s="29" t="e">
        <v>#N/A</v>
      </c>
      <c r="Y263" s="29" t="e">
        <v>#N/A</v>
      </c>
      <c r="Z263" s="29">
        <v>1.3944939637457929</v>
      </c>
      <c r="AA263" t="s">
        <v>66</v>
      </c>
      <c r="AB263" t="s">
        <v>78</v>
      </c>
      <c r="AC263" t="s">
        <v>121</v>
      </c>
    </row>
    <row r="264" spans="2:29" hidden="1" x14ac:dyDescent="0.25">
      <c r="E264" s="1" t="s">
        <v>495</v>
      </c>
      <c r="F264" s="1" t="s">
        <v>496</v>
      </c>
      <c r="G264" s="41">
        <v>8.1961300136009607E-2</v>
      </c>
      <c r="H264" s="41">
        <v>2.2899843316861518E-3</v>
      </c>
      <c r="I264" s="41">
        <v>6.7620657892030644E-2</v>
      </c>
      <c r="J264" s="41">
        <v>1.9832985386221296E-3</v>
      </c>
      <c r="K264" s="42">
        <v>1.1076923076923075</v>
      </c>
      <c r="L264" s="28">
        <v>8.4771585715005795</v>
      </c>
      <c r="M264" s="28">
        <v>6.2679034238166693</v>
      </c>
      <c r="N264" s="41">
        <v>0.50085052880704095</v>
      </c>
      <c r="O264" s="29">
        <v>5.2741433021806854</v>
      </c>
      <c r="P264" s="41">
        <v>0.22797892461496894</v>
      </c>
      <c r="Q264" s="43" t="e">
        <v>#N/A</v>
      </c>
      <c r="R264" s="29">
        <v>4.0466890797701449</v>
      </c>
      <c r="S264" s="44">
        <v>8297000000</v>
      </c>
      <c r="T264" s="44">
        <v>9580000000</v>
      </c>
      <c r="U264" s="44">
        <v>4712907776</v>
      </c>
      <c r="V264" s="29">
        <v>9.0186197632398759</v>
      </c>
      <c r="W264" s="29">
        <v>31.812933450549451</v>
      </c>
      <c r="X264" s="29">
        <v>8.6782941538298406</v>
      </c>
      <c r="Y264" s="29">
        <v>43.379447117124506</v>
      </c>
      <c r="Z264" s="29">
        <v>1.4563010634146341</v>
      </c>
      <c r="AA264" t="s">
        <v>73</v>
      </c>
      <c r="AB264" t="s">
        <v>169</v>
      </c>
      <c r="AC264" t="s">
        <v>187</v>
      </c>
    </row>
    <row r="265" spans="2:29" hidden="1" x14ac:dyDescent="0.25">
      <c r="E265" s="1" t="s">
        <v>441</v>
      </c>
      <c r="F265" s="1" t="s">
        <v>442</v>
      </c>
      <c r="G265" s="41">
        <v>5.4888153197871839E-2</v>
      </c>
      <c r="H265" s="41">
        <v>1.980701929282382E-3</v>
      </c>
      <c r="I265" s="41">
        <v>5.4888153197871839E-2</v>
      </c>
      <c r="J265" s="41">
        <v>1.980701929282382E-3</v>
      </c>
      <c r="K265" s="42">
        <v>1.6265838404364832</v>
      </c>
      <c r="L265" s="28">
        <v>69.171601012800053</v>
      </c>
      <c r="M265" s="28">
        <v>53.954178369323344</v>
      </c>
      <c r="N265" s="41">
        <v>0.58313290910364157</v>
      </c>
      <c r="O265" s="29">
        <v>6.2060038119440915</v>
      </c>
      <c r="P265" s="41">
        <v>0.29166460980703024</v>
      </c>
      <c r="Q265" s="43" t="e">
        <v>#N/A</v>
      </c>
      <c r="R265" s="29">
        <v>40.75072901205391</v>
      </c>
      <c r="S265" s="44">
        <v>762356000.00000012</v>
      </c>
      <c r="T265" s="44">
        <v>762356000.00000012</v>
      </c>
      <c r="U265" s="44">
        <v>203197264</v>
      </c>
      <c r="V265" s="29">
        <v>8.856713224513733</v>
      </c>
      <c r="W265" s="29">
        <v>40.941164802891677</v>
      </c>
      <c r="X265" s="29">
        <v>27.999392747729122</v>
      </c>
      <c r="Y265" s="29">
        <v>109.68030223016615</v>
      </c>
      <c r="Z265" s="29">
        <v>0.83691213556275024</v>
      </c>
      <c r="AA265" t="s">
        <v>69</v>
      </c>
      <c r="AB265" t="s">
        <v>70</v>
      </c>
      <c r="AC265" t="s">
        <v>70</v>
      </c>
    </row>
    <row r="266" spans="2:29" hidden="1" x14ac:dyDescent="0.25">
      <c r="E266" s="1" t="s">
        <v>569</v>
      </c>
      <c r="F266" s="1" t="s">
        <v>570</v>
      </c>
      <c r="G266" s="41">
        <v>0.12834452369611485</v>
      </c>
      <c r="H266" s="41">
        <v>7.1994678477849973E-4</v>
      </c>
      <c r="I266" s="41">
        <v>0.12834452369611485</v>
      </c>
      <c r="J266" s="41">
        <v>7.1994678477849973E-4</v>
      </c>
      <c r="K266" s="42">
        <v>-3.4869778334883894</v>
      </c>
      <c r="L266" s="28">
        <v>12.477252670597114</v>
      </c>
      <c r="M266" s="28">
        <v>4.2064012549532821</v>
      </c>
      <c r="N266" s="41">
        <v>0.27287034891976114</v>
      </c>
      <c r="O266" s="29">
        <v>4.1108734322577742</v>
      </c>
      <c r="P266" s="41">
        <v>0.44532593993109787</v>
      </c>
      <c r="Q266" s="43" t="e">
        <v>#N/A</v>
      </c>
      <c r="R266" s="29">
        <v>2.7150250766887369</v>
      </c>
      <c r="S266" s="44">
        <v>493092000</v>
      </c>
      <c r="T266" s="44">
        <v>493092000</v>
      </c>
      <c r="U266" s="44">
        <v>270276480</v>
      </c>
      <c r="V266" s="29">
        <v>10.196673797032267</v>
      </c>
      <c r="W266" s="29">
        <v>32.65626883969135</v>
      </c>
      <c r="X266" s="29">
        <v>25.492784277788434</v>
      </c>
      <c r="Y266" s="29" t="e">
        <v>#N/A</v>
      </c>
      <c r="Z266" s="29">
        <v>0.91380054505423669</v>
      </c>
      <c r="AA266" t="s">
        <v>76</v>
      </c>
      <c r="AB266" t="s">
        <v>196</v>
      </c>
      <c r="AC266" t="s">
        <v>197</v>
      </c>
    </row>
    <row r="267" spans="2:29" hidden="1" x14ac:dyDescent="0.25">
      <c r="E267" s="1" t="s">
        <v>332</v>
      </c>
      <c r="F267" s="1" t="s">
        <v>333</v>
      </c>
      <c r="G267" s="41">
        <v>-1.1377024865570103E-2</v>
      </c>
      <c r="H267" s="41">
        <v>-1.0445778697885677E-3</v>
      </c>
      <c r="I267" s="41">
        <v>-1.1377024865570103E-2</v>
      </c>
      <c r="J267" s="41">
        <v>-1.0445778697885677E-3</v>
      </c>
      <c r="K267" s="42">
        <v>14.391610112854908</v>
      </c>
      <c r="L267" s="28">
        <v>-51.524691380588116</v>
      </c>
      <c r="M267" s="28">
        <v>6.2552583693674304</v>
      </c>
      <c r="N267" s="41">
        <v>0.29047792894906854</v>
      </c>
      <c r="O267" s="29">
        <v>9.2745525837999487</v>
      </c>
      <c r="P267" s="41">
        <v>0.51549866774725039</v>
      </c>
      <c r="Q267" s="43" t="e">
        <v>#N/A</v>
      </c>
      <c r="R267" s="29">
        <v>537.96084927114077</v>
      </c>
      <c r="S267" s="44">
        <v>1374718000</v>
      </c>
      <c r="T267" s="44">
        <v>1374718000</v>
      </c>
      <c r="U267" s="44">
        <v>855598336</v>
      </c>
      <c r="V267" s="29">
        <v>22.408424026974657</v>
      </c>
      <c r="W267" s="29">
        <v>30.900806564275193</v>
      </c>
      <c r="X267" s="29">
        <v>-7.7760787042951884</v>
      </c>
      <c r="Y267" s="29">
        <v>7.0733464287462953</v>
      </c>
      <c r="Z267" s="29">
        <v>0.79327361097282578</v>
      </c>
      <c r="AA267" t="s">
        <v>66</v>
      </c>
      <c r="AB267" t="s">
        <v>78</v>
      </c>
      <c r="AC267" t="s">
        <v>121</v>
      </c>
    </row>
    <row r="268" spans="2:29" hidden="1" x14ac:dyDescent="0.25">
      <c r="E268" s="1" t="s">
        <v>706</v>
      </c>
      <c r="F268" s="1" t="s">
        <v>707</v>
      </c>
      <c r="G268" s="41">
        <v>-1.113739231077499E-2</v>
      </c>
      <c r="H268" s="41">
        <v>-2.4562771090145333E-3</v>
      </c>
      <c r="I268" s="41">
        <v>-1.113739231077499E-2</v>
      </c>
      <c r="J268" s="41">
        <v>-2.4562771090145333E-3</v>
      </c>
      <c r="K268" s="42" t="e">
        <v>#N/A</v>
      </c>
      <c r="L268" s="28" t="e">
        <v>#N/A</v>
      </c>
      <c r="M268" s="28">
        <v>-18.464107877400803</v>
      </c>
      <c r="N268" s="41" t="e">
        <v>#N/A</v>
      </c>
      <c r="O268" s="29" t="e">
        <v>#N/A</v>
      </c>
      <c r="P268" s="41">
        <v>0.37410830345392154</v>
      </c>
      <c r="Q268" s="43" t="e">
        <v>#N/A</v>
      </c>
      <c r="R268" s="29" t="e">
        <v>#N/A</v>
      </c>
      <c r="S268" s="44">
        <v>2676001000</v>
      </c>
      <c r="T268" s="44">
        <v>2676001000</v>
      </c>
      <c r="U268" s="44">
        <v>610286656</v>
      </c>
      <c r="V268" s="29" t="e">
        <v>#N/A</v>
      </c>
      <c r="W268" s="29" t="e">
        <v>#N/A</v>
      </c>
      <c r="X268" s="29" t="e">
        <v>#N/A</v>
      </c>
      <c r="Y268" s="29" t="e">
        <v>#N/A</v>
      </c>
      <c r="Z268" s="29">
        <v>0.41717097776324391</v>
      </c>
      <c r="AA268" t="s">
        <v>66</v>
      </c>
      <c r="AB268" t="s">
        <v>176</v>
      </c>
      <c r="AC268" t="s">
        <v>202</v>
      </c>
    </row>
    <row r="269" spans="2:29" hidden="1" x14ac:dyDescent="0.25">
      <c r="E269" s="1" t="s">
        <v>597</v>
      </c>
      <c r="F269" s="1" t="s">
        <v>598</v>
      </c>
      <c r="G269" s="41">
        <v>3.8138797201525019E-3</v>
      </c>
      <c r="H269" s="41">
        <v>-4.1896420403115427E-3</v>
      </c>
      <c r="I269" s="41">
        <v>3.7787686365883559E-3</v>
      </c>
      <c r="J269" s="41">
        <v>-4.1896420403115427E-3</v>
      </c>
      <c r="K269" s="42">
        <v>6.6833383121051373</v>
      </c>
      <c r="L269" s="28" t="e">
        <v>#N/A</v>
      </c>
      <c r="M269" s="28" t="e">
        <v>#N/A</v>
      </c>
      <c r="N269" s="41">
        <v>0.21941463482443216</v>
      </c>
      <c r="O269" s="29">
        <v>-59.182027808580472</v>
      </c>
      <c r="P269" s="41">
        <v>0.76901637521198807</v>
      </c>
      <c r="Q269" s="43" t="e">
        <v>#N/A</v>
      </c>
      <c r="R269" s="29" t="e">
        <v>#N/A</v>
      </c>
      <c r="S269" s="44">
        <v>966321610.0999999</v>
      </c>
      <c r="T269" s="44">
        <v>966321610.0999999</v>
      </c>
      <c r="U269" s="44">
        <v>1317541376</v>
      </c>
      <c r="V269" s="29" t="e">
        <v>#N/A</v>
      </c>
      <c r="W269" s="29" t="e">
        <v>#N/A</v>
      </c>
      <c r="X269" s="29">
        <v>-0.23643093371168297</v>
      </c>
      <c r="Y269" s="29">
        <v>25.433129231738565</v>
      </c>
      <c r="Z269" s="29">
        <v>1.5568227478601651</v>
      </c>
      <c r="AA269" t="s">
        <v>77</v>
      </c>
      <c r="AB269" t="s">
        <v>111</v>
      </c>
      <c r="AC269" t="s">
        <v>225</v>
      </c>
    </row>
    <row r="270" spans="2:29" hidden="1" x14ac:dyDescent="0.25">
      <c r="E270" s="1" t="s">
        <v>371</v>
      </c>
      <c r="F270" s="1" t="s">
        <v>372</v>
      </c>
      <c r="G270" s="41">
        <v>-6.5079514420719655E-3</v>
      </c>
      <c r="H270" s="41">
        <v>-6.4985166779265077E-3</v>
      </c>
      <c r="I270" s="41">
        <v>-6.5079514420719655E-3</v>
      </c>
      <c r="J270" s="41">
        <v>-6.4985166779265077E-3</v>
      </c>
      <c r="K270" s="42">
        <v>-36.298381230121912</v>
      </c>
      <c r="L270" s="28">
        <v>2.0610598336753272</v>
      </c>
      <c r="M270" s="28">
        <v>-1.8420736562559776</v>
      </c>
      <c r="N270" s="41">
        <v>0.37902301806187105</v>
      </c>
      <c r="O270" s="29">
        <v>-2.5285827060123278</v>
      </c>
      <c r="P270" s="41">
        <v>0.46154048552490895</v>
      </c>
      <c r="Q270" s="43" t="e">
        <v>#N/A</v>
      </c>
      <c r="R270" s="29" t="e">
        <v>#N/A</v>
      </c>
      <c r="S270" s="44">
        <v>2319957986.5</v>
      </c>
      <c r="T270" s="44">
        <v>2319957986.5</v>
      </c>
      <c r="U270" s="44">
        <v>2152491008</v>
      </c>
      <c r="V270" s="29" t="e">
        <v>#N/A</v>
      </c>
      <c r="W270" s="29" t="e">
        <v>#N/A</v>
      </c>
      <c r="X270" s="29" t="e">
        <v>#N/A</v>
      </c>
      <c r="Y270" s="29" t="e">
        <v>#N/A</v>
      </c>
      <c r="Z270" s="29">
        <v>1.5794916172946989</v>
      </c>
      <c r="AA270" t="s">
        <v>66</v>
      </c>
      <c r="AB270" t="s">
        <v>78</v>
      </c>
      <c r="AC270" t="s">
        <v>121</v>
      </c>
    </row>
    <row r="271" spans="2:29" hidden="1" x14ac:dyDescent="0.25">
      <c r="E271" s="1" t="s">
        <v>916</v>
      </c>
      <c r="F271" s="1" t="s">
        <v>917</v>
      </c>
      <c r="G271" s="41" t="e">
        <v>#N/A</v>
      </c>
      <c r="H271" s="41">
        <v>-7.9289841750127057E-3</v>
      </c>
      <c r="I271" s="41" t="e">
        <v>#N/A</v>
      </c>
      <c r="J271" s="41">
        <v>-7.9289841750127057E-3</v>
      </c>
      <c r="K271" s="42">
        <v>-8.0034511335384334E-2</v>
      </c>
      <c r="L271" s="28" t="e">
        <v>#N/A</v>
      </c>
      <c r="M271" s="28">
        <v>28.234213955692454</v>
      </c>
      <c r="N271" s="41">
        <v>0.21980786902430713</v>
      </c>
      <c r="O271" s="29">
        <v>30.719465548860356</v>
      </c>
      <c r="P271" s="41">
        <v>0.69588785123815111</v>
      </c>
      <c r="Q271" s="43" t="e">
        <v>#N/A</v>
      </c>
      <c r="R271" s="29" t="e">
        <v>#N/A</v>
      </c>
      <c r="S271" s="44">
        <v>2364994000</v>
      </c>
      <c r="T271" s="44">
        <v>2364994000</v>
      </c>
      <c r="U271" s="44">
        <v>2587196672</v>
      </c>
      <c r="V271" s="29">
        <v>166.14397023840709</v>
      </c>
      <c r="W271" s="29" t="e">
        <v>#N/A</v>
      </c>
      <c r="X271" s="29">
        <v>-4.0492089810480403</v>
      </c>
      <c r="Y271" s="29">
        <v>541.02940278894869</v>
      </c>
      <c r="Z271" s="29">
        <v>1.1321610747804911</v>
      </c>
      <c r="AA271" t="s">
        <v>69</v>
      </c>
      <c r="AB271" t="s">
        <v>70</v>
      </c>
      <c r="AC271" t="s">
        <v>70</v>
      </c>
    </row>
    <row r="272" spans="2:29" hidden="1" x14ac:dyDescent="0.25">
      <c r="E272" s="1" t="s">
        <v>989</v>
      </c>
      <c r="F272" s="1" t="s">
        <v>990</v>
      </c>
      <c r="G272" s="41" t="e">
        <v>#N/A</v>
      </c>
      <c r="H272" s="41">
        <v>-1.0134152877531933E-2</v>
      </c>
      <c r="I272" s="41" t="e">
        <v>#N/A</v>
      </c>
      <c r="J272" s="41">
        <v>-1.0134152877531933E-2</v>
      </c>
      <c r="K272" s="42">
        <v>16.08707574830721</v>
      </c>
      <c r="L272" s="28" t="e">
        <v>#N/A</v>
      </c>
      <c r="M272" s="28" t="e">
        <v>#N/A</v>
      </c>
      <c r="N272" s="41">
        <v>0.74340692998576519</v>
      </c>
      <c r="O272" s="29">
        <v>-99.061864109460899</v>
      </c>
      <c r="P272" s="41">
        <v>0.24235379401011362</v>
      </c>
      <c r="Q272" s="43" t="e">
        <v>#N/A</v>
      </c>
      <c r="R272" s="29" t="e">
        <v>#N/A</v>
      </c>
      <c r="S272" s="44">
        <v>856411000</v>
      </c>
      <c r="T272" s="44">
        <v>856411000</v>
      </c>
      <c r="U272" s="44">
        <v>293045184</v>
      </c>
      <c r="V272" s="29" t="e">
        <v>#N/A</v>
      </c>
      <c r="W272" s="29" t="e">
        <v>#N/A</v>
      </c>
      <c r="X272" s="29">
        <v>-123.26529140298037</v>
      </c>
      <c r="Y272" s="29">
        <v>7.4710655394979524</v>
      </c>
      <c r="Z272" s="29">
        <v>1.0611773066184804</v>
      </c>
      <c r="AA272" t="s">
        <v>66</v>
      </c>
      <c r="AB272" t="s">
        <v>78</v>
      </c>
      <c r="AC272" t="s">
        <v>123</v>
      </c>
    </row>
    <row r="273" spans="1:29" hidden="1" x14ac:dyDescent="0.25">
      <c r="E273" s="1" t="s">
        <v>1007</v>
      </c>
      <c r="F273" s="1" t="s">
        <v>1008</v>
      </c>
      <c r="G273" s="41" t="e">
        <v>#N/A</v>
      </c>
      <c r="H273" s="41">
        <v>-1.0212269129722161E-2</v>
      </c>
      <c r="I273" s="41" t="e">
        <v>#N/A</v>
      </c>
      <c r="J273" s="41">
        <v>-1.0212269129722161E-2</v>
      </c>
      <c r="K273" s="42">
        <v>2.8642568323307427</v>
      </c>
      <c r="L273" s="28" t="e">
        <v>#N/A</v>
      </c>
      <c r="M273" s="28">
        <v>-15.562729600356231</v>
      </c>
      <c r="N273" s="41">
        <v>0.24347882167343016</v>
      </c>
      <c r="O273" s="29">
        <v>-37.40695761159612</v>
      </c>
      <c r="P273" s="41">
        <v>0.55618780199827367</v>
      </c>
      <c r="Q273" s="43">
        <v>3.2136455913919594E-2</v>
      </c>
      <c r="R273" s="29" t="e">
        <v>#N/A</v>
      </c>
      <c r="S273" s="44">
        <v>606823403.20000005</v>
      </c>
      <c r="T273" s="44">
        <v>606823403.20000005</v>
      </c>
      <c r="U273" s="44">
        <v>589131904</v>
      </c>
      <c r="V273" s="29" t="e">
        <v>#N/A</v>
      </c>
      <c r="W273" s="29" t="e">
        <v>#N/A</v>
      </c>
      <c r="X273" s="29">
        <v>-35.116711854265944</v>
      </c>
      <c r="Y273" s="29">
        <v>73.306887407413882</v>
      </c>
      <c r="Z273" s="29">
        <v>1.555792782647448</v>
      </c>
      <c r="AA273" t="s">
        <v>69</v>
      </c>
      <c r="AB273" t="s">
        <v>70</v>
      </c>
      <c r="AC273" t="s">
        <v>70</v>
      </c>
    </row>
    <row r="274" spans="1:29" hidden="1" x14ac:dyDescent="0.25">
      <c r="E274" s="1" t="s">
        <v>537</v>
      </c>
      <c r="F274" s="1" t="s">
        <v>538</v>
      </c>
      <c r="G274" s="41">
        <v>-1.0737829986465566E-2</v>
      </c>
      <c r="H274" s="41">
        <v>-1.1034526947861745E-2</v>
      </c>
      <c r="I274" s="41">
        <v>-1.0737829986465566E-2</v>
      </c>
      <c r="J274" s="41">
        <v>-1.1034526947861745E-2</v>
      </c>
      <c r="K274" s="42" t="e">
        <v>#N/A</v>
      </c>
      <c r="L274" s="28">
        <v>-110.64150075658108</v>
      </c>
      <c r="M274" s="28">
        <v>-324.43502824858757</v>
      </c>
      <c r="N274" s="41" t="e">
        <v>#N/A</v>
      </c>
      <c r="O274" s="29" t="e">
        <v>#N/A</v>
      </c>
      <c r="P274" s="41">
        <v>0.99781078042719362</v>
      </c>
      <c r="Q274" s="43" t="e">
        <v>#N/A</v>
      </c>
      <c r="R274" s="29" t="e">
        <v>#N/A</v>
      </c>
      <c r="S274" s="44">
        <v>218496000</v>
      </c>
      <c r="T274" s="44">
        <v>218496000</v>
      </c>
      <c r="U274" s="44">
        <v>786235968</v>
      </c>
      <c r="V274" s="29" t="e">
        <v>#N/A</v>
      </c>
      <c r="W274" s="29" t="e">
        <v>#N/A</v>
      </c>
      <c r="X274" s="29" t="e">
        <v>#N/A</v>
      </c>
      <c r="Y274" s="29" t="e">
        <v>#N/A</v>
      </c>
      <c r="Z274" s="29">
        <v>3.8742658918406074</v>
      </c>
      <c r="AA274" t="s">
        <v>66</v>
      </c>
      <c r="AB274" t="s">
        <v>84</v>
      </c>
      <c r="AC274" t="s">
        <v>151</v>
      </c>
    </row>
    <row r="275" spans="1:29" s="33" customFormat="1" x14ac:dyDescent="0.25">
      <c r="A275" s="33">
        <v>14</v>
      </c>
      <c r="B275" s="54"/>
      <c r="E275" s="51" t="s">
        <v>1057</v>
      </c>
      <c r="F275" s="51" t="s">
        <v>1058</v>
      </c>
      <c r="G275" s="52" t="e">
        <v>#N/A</v>
      </c>
      <c r="H275" s="52">
        <v>-1.261506989430617E-2</v>
      </c>
      <c r="I275" s="52" t="e">
        <v>#N/A</v>
      </c>
      <c r="J275" s="52">
        <v>-2.6757304020827307E-3</v>
      </c>
      <c r="K275" s="53">
        <v>-0.53449793045008631</v>
      </c>
      <c r="L275" s="54" t="e">
        <v>#N/A</v>
      </c>
      <c r="M275" s="54">
        <v>28.357410379882289</v>
      </c>
      <c r="N275" s="52">
        <v>-0.21249450065992082</v>
      </c>
      <c r="O275" s="55">
        <v>-1.8226415094339623</v>
      </c>
      <c r="P275" s="52">
        <v>0.95809856874554755</v>
      </c>
      <c r="Q275" s="56" t="e">
        <v>#N/A</v>
      </c>
      <c r="R275" s="55" t="e">
        <v>#N/A</v>
      </c>
      <c r="S275" s="57">
        <v>2933000000</v>
      </c>
      <c r="T275" s="57">
        <v>13828000000</v>
      </c>
      <c r="U275" s="57">
        <v>28995778560</v>
      </c>
      <c r="V275" s="55">
        <v>52.886374641509434</v>
      </c>
      <c r="W275" s="55" t="e">
        <v>#N/A</v>
      </c>
      <c r="X275" s="55">
        <v>1.5002183821340371</v>
      </c>
      <c r="Y275" s="55" t="e">
        <v>#N/A</v>
      </c>
      <c r="Z275" s="55">
        <v>0.12628832370893606</v>
      </c>
      <c r="AA275" s="33" t="s">
        <v>76</v>
      </c>
      <c r="AB275" s="33" t="s">
        <v>162</v>
      </c>
      <c r="AC275" s="33" t="s">
        <v>163</v>
      </c>
    </row>
    <row r="276" spans="1:29" hidden="1" x14ac:dyDescent="0.25">
      <c r="E276" s="1" t="s">
        <v>1024</v>
      </c>
      <c r="F276" s="1" t="s">
        <v>1025</v>
      </c>
      <c r="G276" s="41" t="e">
        <v>#N/A</v>
      </c>
      <c r="H276" s="41">
        <v>-1.3824515788680382E-2</v>
      </c>
      <c r="I276" s="41" t="e">
        <v>#N/A</v>
      </c>
      <c r="J276" s="41">
        <v>-1.2849418821005626E-2</v>
      </c>
      <c r="K276" s="42" t="e">
        <v>#N/A</v>
      </c>
      <c r="L276" s="28" t="e">
        <v>#N/A</v>
      </c>
      <c r="M276" s="28">
        <v>-15.244306875967279</v>
      </c>
      <c r="N276" s="41">
        <v>0.21184356898998813</v>
      </c>
      <c r="O276" s="29" t="e">
        <v>#N/A</v>
      </c>
      <c r="P276" s="41">
        <v>0.40312255668491015</v>
      </c>
      <c r="Q276" s="43" t="e">
        <v>#N/A</v>
      </c>
      <c r="R276" s="29" t="e">
        <v>#N/A</v>
      </c>
      <c r="S276" s="44">
        <v>212304000</v>
      </c>
      <c r="T276" s="44">
        <v>228415000</v>
      </c>
      <c r="U276" s="44">
        <v>511634848</v>
      </c>
      <c r="V276" s="29" t="e">
        <v>#N/A</v>
      </c>
      <c r="W276" s="29" t="e">
        <v>#N/A</v>
      </c>
      <c r="X276" s="29" t="e">
        <v>#N/A</v>
      </c>
      <c r="Y276" s="29" t="e">
        <v>#N/A</v>
      </c>
      <c r="Z276" s="29">
        <v>1.3312536988277475</v>
      </c>
      <c r="AA276" t="s">
        <v>69</v>
      </c>
      <c r="AB276" t="s">
        <v>70</v>
      </c>
      <c r="AC276" t="s">
        <v>70</v>
      </c>
    </row>
    <row r="277" spans="1:29" hidden="1" x14ac:dyDescent="0.25">
      <c r="E277" s="1" t="s">
        <v>262</v>
      </c>
      <c r="F277" s="1" t="s">
        <v>263</v>
      </c>
      <c r="G277" s="41">
        <v>2.2889153207895495E-2</v>
      </c>
      <c r="H277" s="41">
        <v>-1.4006686825478771E-2</v>
      </c>
      <c r="I277" s="41">
        <v>2.0372816052983321E-2</v>
      </c>
      <c r="J277" s="41">
        <v>-1.3529478114777942E-2</v>
      </c>
      <c r="K277" s="42" t="e">
        <v>#N/A</v>
      </c>
      <c r="L277" s="28">
        <v>9.7745691232867919</v>
      </c>
      <c r="M277" s="28">
        <v>8.4779780415053629</v>
      </c>
      <c r="N277" s="41">
        <v>0.34687842422802223</v>
      </c>
      <c r="O277" s="29" t="e">
        <v>#N/A</v>
      </c>
      <c r="P277" s="41">
        <v>0.45181131427590349</v>
      </c>
      <c r="Q277" s="43" t="e">
        <v>#N/A</v>
      </c>
      <c r="R277" s="29" t="e">
        <v>#N/A</v>
      </c>
      <c r="S277" s="44">
        <v>162708000</v>
      </c>
      <c r="T277" s="44">
        <v>168447000</v>
      </c>
      <c r="U277" s="44">
        <v>225874080</v>
      </c>
      <c r="V277" s="29" t="e">
        <v>#N/A</v>
      </c>
      <c r="W277" s="29" t="e">
        <v>#N/A</v>
      </c>
      <c r="X277" s="29" t="e">
        <v>#N/A</v>
      </c>
      <c r="Y277" s="29" t="e">
        <v>#N/A</v>
      </c>
      <c r="Z277" s="29">
        <v>2.1458071497107243</v>
      </c>
      <c r="AA277" t="s">
        <v>65</v>
      </c>
      <c r="AB277" t="s">
        <v>149</v>
      </c>
      <c r="AC277" t="s">
        <v>164</v>
      </c>
    </row>
    <row r="278" spans="1:29" hidden="1" x14ac:dyDescent="0.25">
      <c r="E278" s="1" t="s">
        <v>688</v>
      </c>
      <c r="F278" s="1" t="s">
        <v>689</v>
      </c>
      <c r="G278" s="41" t="e">
        <v>#N/A</v>
      </c>
      <c r="H278" s="41">
        <v>-1.5495700193887957E-2</v>
      </c>
      <c r="I278" s="41">
        <v>-1.6358763632134883E-4</v>
      </c>
      <c r="J278" s="41">
        <v>-1.5495700193887957E-2</v>
      </c>
      <c r="K278" s="42">
        <v>14.908066303050962</v>
      </c>
      <c r="L278" s="28">
        <v>1.1318585744703733</v>
      </c>
      <c r="M278" s="28">
        <v>-4.7030854528304307</v>
      </c>
      <c r="N278" s="41">
        <v>9.5659879207562235E-2</v>
      </c>
      <c r="O278" s="29">
        <v>1.2770955128450068</v>
      </c>
      <c r="P278" s="41">
        <v>0.26959518906231783</v>
      </c>
      <c r="Q278" s="43" t="e">
        <v>#N/A</v>
      </c>
      <c r="R278" s="29">
        <v>8.0995312545532645</v>
      </c>
      <c r="S278" s="44">
        <v>1695309000</v>
      </c>
      <c r="T278" s="44">
        <v>1695309000</v>
      </c>
      <c r="U278" s="44">
        <v>1262276992</v>
      </c>
      <c r="V278" s="29">
        <v>5.0787461745188693</v>
      </c>
      <c r="W278" s="29">
        <v>5.2794532161497294</v>
      </c>
      <c r="X278" s="29">
        <v>-5.0587153536582878</v>
      </c>
      <c r="Y278" s="29" t="e">
        <v>#N/A</v>
      </c>
      <c r="Z278" s="29">
        <v>1.0533334831115917</v>
      </c>
      <c r="AA278" t="s">
        <v>73</v>
      </c>
      <c r="AB278" t="s">
        <v>180</v>
      </c>
      <c r="AC278" t="s">
        <v>249</v>
      </c>
    </row>
    <row r="279" spans="1:29" hidden="1" x14ac:dyDescent="0.25">
      <c r="E279" s="1" t="s">
        <v>302</v>
      </c>
      <c r="F279" s="1" t="s">
        <v>303</v>
      </c>
      <c r="G279" s="41">
        <v>-3.3598654110329973E-2</v>
      </c>
      <c r="H279" s="41">
        <v>-1.6754113898965979E-2</v>
      </c>
      <c r="I279" s="41">
        <v>-3.3598654110329973E-2</v>
      </c>
      <c r="J279" s="41">
        <v>-1.6754113898965979E-2</v>
      </c>
      <c r="K279" s="42" t="e">
        <v>#N/A</v>
      </c>
      <c r="L279" s="28" t="e">
        <v>#N/A</v>
      </c>
      <c r="M279" s="28" t="e">
        <v>#N/A</v>
      </c>
      <c r="N279" s="41">
        <v>0.78418037183849831</v>
      </c>
      <c r="O279" s="29" t="e">
        <v>#N/A</v>
      </c>
      <c r="P279" s="41">
        <v>0.19320858897865903</v>
      </c>
      <c r="Q279" s="43" t="e">
        <v>#N/A</v>
      </c>
      <c r="R279" s="29" t="e">
        <v>#N/A</v>
      </c>
      <c r="S279" s="44">
        <v>592929000</v>
      </c>
      <c r="T279" s="44">
        <v>592929000</v>
      </c>
      <c r="U279" s="44">
        <v>206813520</v>
      </c>
      <c r="V279" s="29" t="e">
        <v>#N/A</v>
      </c>
      <c r="W279" s="29" t="e">
        <v>#N/A</v>
      </c>
      <c r="X279" s="29" t="e">
        <v>#N/A</v>
      </c>
      <c r="Y279" s="29" t="e">
        <v>#N/A</v>
      </c>
      <c r="Z279" s="29">
        <v>1.2619162388821388</v>
      </c>
      <c r="AA279" t="s">
        <v>66</v>
      </c>
      <c r="AB279" t="s">
        <v>110</v>
      </c>
      <c r="AC279" t="s">
        <v>110</v>
      </c>
    </row>
    <row r="280" spans="1:29" s="33" customFormat="1" hidden="1" x14ac:dyDescent="0.25">
      <c r="B280" s="28"/>
      <c r="C280"/>
      <c r="D280"/>
      <c r="E280" s="1" t="s">
        <v>487</v>
      </c>
      <c r="F280" s="1" t="s">
        <v>488</v>
      </c>
      <c r="G280" s="41">
        <v>1.41825105220646E-2</v>
      </c>
      <c r="H280" s="41">
        <v>-1.7609068228256686E-2</v>
      </c>
      <c r="I280" s="41">
        <v>1.4161439352614959E-2</v>
      </c>
      <c r="J280" s="41">
        <v>-1.7595754000043769E-2</v>
      </c>
      <c r="K280" s="42">
        <v>-16.230426679517176</v>
      </c>
      <c r="L280" s="28">
        <v>47.137574119305228</v>
      </c>
      <c r="M280" s="28">
        <v>-53.900492718921264</v>
      </c>
      <c r="N280" s="41">
        <v>0.55929983959064145</v>
      </c>
      <c r="O280" s="29">
        <v>67.286768926589687</v>
      </c>
      <c r="P280" s="41">
        <v>0.3337422087510995</v>
      </c>
      <c r="Q280" s="43" t="e">
        <v>#N/A</v>
      </c>
      <c r="R280" s="29">
        <v>20.753933660609</v>
      </c>
      <c r="S280" s="44">
        <v>6483648000</v>
      </c>
      <c r="T280" s="44">
        <v>6488554000</v>
      </c>
      <c r="U280" s="44">
        <v>2665175040</v>
      </c>
      <c r="V280" s="29">
        <v>111.32500542126405</v>
      </c>
      <c r="W280" s="29">
        <v>112.69606056203897</v>
      </c>
      <c r="X280" s="29">
        <v>-16.399410674354808</v>
      </c>
      <c r="Y280" s="29" t="e">
        <v>#N/A</v>
      </c>
      <c r="Z280" s="29">
        <v>1.1055446148792065</v>
      </c>
      <c r="AA280" t="s">
        <v>66</v>
      </c>
      <c r="AB280" t="s">
        <v>176</v>
      </c>
      <c r="AC280" t="s">
        <v>248</v>
      </c>
    </row>
    <row r="281" spans="1:29" s="33" customFormat="1" x14ac:dyDescent="0.25">
      <c r="A281" s="33">
        <v>14</v>
      </c>
      <c r="B281" s="54"/>
      <c r="E281" s="51" t="s">
        <v>966</v>
      </c>
      <c r="F281" s="51" t="s">
        <v>967</v>
      </c>
      <c r="G281" s="52" t="e">
        <v>#N/A</v>
      </c>
      <c r="H281" s="52">
        <v>-2.7265174103086365E-2</v>
      </c>
      <c r="I281" s="52" t="e">
        <v>#N/A</v>
      </c>
      <c r="J281" s="52">
        <v>-2.7265174103086365E-2</v>
      </c>
      <c r="K281" s="53">
        <v>-19.336540730964455</v>
      </c>
      <c r="L281" s="54">
        <v>-4.7596080336829516</v>
      </c>
      <c r="M281" s="54">
        <v>-4.4099851118081199</v>
      </c>
      <c r="N281" s="52">
        <v>0.1629967314639601</v>
      </c>
      <c r="O281" s="55">
        <v>-1.689880435138021</v>
      </c>
      <c r="P281" s="52">
        <v>0.73078530879064163</v>
      </c>
      <c r="Q281" s="56" t="e">
        <v>#N/A</v>
      </c>
      <c r="R281" s="55" t="e">
        <v>#N/A</v>
      </c>
      <c r="S281" s="57">
        <v>719746000</v>
      </c>
      <c r="T281" s="57">
        <v>719746000</v>
      </c>
      <c r="U281" s="57">
        <v>6742607872</v>
      </c>
      <c r="V281" s="55" t="e">
        <v>#N/A</v>
      </c>
      <c r="W281" s="55" t="e">
        <v>#N/A</v>
      </c>
      <c r="X281" s="55">
        <v>0.90079883757672863</v>
      </c>
      <c r="Y281" s="55" t="e">
        <v>#N/A</v>
      </c>
      <c r="Z281" s="55">
        <v>6.9205129347358803</v>
      </c>
      <c r="AA281" s="33" t="s">
        <v>91</v>
      </c>
      <c r="AB281" s="33" t="s">
        <v>94</v>
      </c>
      <c r="AC281" s="33" t="s">
        <v>212</v>
      </c>
    </row>
    <row r="282" spans="1:29" hidden="1" x14ac:dyDescent="0.25">
      <c r="E282" s="1" t="s">
        <v>1003</v>
      </c>
      <c r="F282" s="1" t="s">
        <v>1004</v>
      </c>
      <c r="G282" s="41" t="e">
        <v>#N/A</v>
      </c>
      <c r="H282" s="41">
        <v>-3.009005400697418E-2</v>
      </c>
      <c r="I282" s="41" t="e">
        <v>#N/A</v>
      </c>
      <c r="J282" s="41">
        <v>-1.0874734909668244E-2</v>
      </c>
      <c r="K282" s="42">
        <v>-7.7410225516852256</v>
      </c>
      <c r="L282" s="28" t="e">
        <v>#N/A</v>
      </c>
      <c r="M282" s="28">
        <v>7.1031652571102324</v>
      </c>
      <c r="N282" s="41">
        <v>2.0819947345349466E-2</v>
      </c>
      <c r="O282" s="29">
        <v>0.59322448181462606</v>
      </c>
      <c r="P282" s="41">
        <v>0.63331068051392858</v>
      </c>
      <c r="Q282" s="43" t="e">
        <v>#N/A</v>
      </c>
      <c r="R282" s="29" t="e">
        <v>#N/A</v>
      </c>
      <c r="S282" s="44">
        <v>314589000</v>
      </c>
      <c r="T282" s="44">
        <v>870458000</v>
      </c>
      <c r="U282" s="44">
        <v>1274190336</v>
      </c>
      <c r="V282" s="29">
        <v>31.737884630426279</v>
      </c>
      <c r="W282" s="29" t="e">
        <v>#N/A</v>
      </c>
      <c r="X282" s="29">
        <v>3.4185630489666505</v>
      </c>
      <c r="Y282" s="29" t="e">
        <v>#N/A</v>
      </c>
      <c r="Z282" s="29">
        <v>1.1623687003511771</v>
      </c>
      <c r="AA282" t="s">
        <v>71</v>
      </c>
      <c r="AB282" t="s">
        <v>220</v>
      </c>
      <c r="AC282" t="s">
        <v>221</v>
      </c>
    </row>
    <row r="283" spans="1:29" hidden="1" x14ac:dyDescent="0.25">
      <c r="E283" s="1" t="s">
        <v>954</v>
      </c>
      <c r="F283" s="1" t="s">
        <v>955</v>
      </c>
      <c r="G283" s="41" t="e">
        <v>#N/A</v>
      </c>
      <c r="H283" s="41">
        <v>-3.3149565639997568E-2</v>
      </c>
      <c r="I283" s="41" t="e">
        <v>#N/A</v>
      </c>
      <c r="J283" s="41">
        <v>-3.3149565639997568E-2</v>
      </c>
      <c r="K283" s="42">
        <v>-10.678295217416252</v>
      </c>
      <c r="L283" s="28" t="e">
        <v>#N/A</v>
      </c>
      <c r="M283" s="28">
        <v>-118.7322611163671</v>
      </c>
      <c r="N283" s="41">
        <v>0.4626274910804144</v>
      </c>
      <c r="O283" s="29" t="e">
        <v>#N/A</v>
      </c>
      <c r="P283" s="41">
        <v>0.19576296995476172</v>
      </c>
      <c r="Q283" s="43" t="e">
        <v>#N/A</v>
      </c>
      <c r="R283" s="29" t="e">
        <v>#N/A</v>
      </c>
      <c r="S283" s="44">
        <v>658440000</v>
      </c>
      <c r="T283" s="44">
        <v>658440000</v>
      </c>
      <c r="U283" s="44">
        <v>476327488</v>
      </c>
      <c r="V283" s="29" t="e">
        <v>#N/A</v>
      </c>
      <c r="W283" s="29" t="e">
        <v>#N/A</v>
      </c>
      <c r="X283" s="29" t="e">
        <v>#N/A</v>
      </c>
      <c r="Y283" s="29" t="e">
        <v>#N/A</v>
      </c>
      <c r="Z283" s="29">
        <v>2.932843182532582</v>
      </c>
      <c r="AA283" t="s">
        <v>69</v>
      </c>
      <c r="AB283" t="s">
        <v>70</v>
      </c>
      <c r="AC283" t="s">
        <v>70</v>
      </c>
    </row>
    <row r="284" spans="1:29" hidden="1" x14ac:dyDescent="0.25">
      <c r="E284" s="1" t="s">
        <v>322</v>
      </c>
      <c r="F284" s="1" t="s">
        <v>323</v>
      </c>
      <c r="G284" s="41">
        <v>-1.4005005798069663E-2</v>
      </c>
      <c r="H284" s="41">
        <v>-3.3248894538033265E-2</v>
      </c>
      <c r="I284" s="41">
        <v>-1.4005005798069663E-2</v>
      </c>
      <c r="J284" s="41">
        <v>-3.3248894538033265E-2</v>
      </c>
      <c r="K284" s="42">
        <v>-12.472414167360082</v>
      </c>
      <c r="L284" s="28">
        <v>58.09686189688189</v>
      </c>
      <c r="M284" s="28">
        <v>84.878536011129725</v>
      </c>
      <c r="N284" s="41">
        <v>0.60844686763397482</v>
      </c>
      <c r="O284" s="29">
        <v>7.1763564927637153</v>
      </c>
      <c r="P284" s="41">
        <v>0.29168511467280617</v>
      </c>
      <c r="Q284" s="43" t="e">
        <v>#N/A</v>
      </c>
      <c r="R284" s="29">
        <v>-26.424599596946212</v>
      </c>
      <c r="S284" s="44">
        <v>223436000</v>
      </c>
      <c r="T284" s="44">
        <v>223436000</v>
      </c>
      <c r="U284" s="44">
        <v>202464400</v>
      </c>
      <c r="V284" s="29">
        <v>10.700952305167355</v>
      </c>
      <c r="W284" s="29" t="e">
        <v>#N/A</v>
      </c>
      <c r="X284" s="29">
        <v>-48.870123640064875</v>
      </c>
      <c r="Y284" s="29" t="e">
        <v>#N/A</v>
      </c>
      <c r="Z284" s="29">
        <v>1.0384124875245695</v>
      </c>
      <c r="AA284" t="s">
        <v>76</v>
      </c>
      <c r="AB284" t="s">
        <v>234</v>
      </c>
      <c r="AC284" t="s">
        <v>234</v>
      </c>
    </row>
    <row r="285" spans="1:29" hidden="1" x14ac:dyDescent="0.25">
      <c r="E285" s="1" t="s">
        <v>1011</v>
      </c>
      <c r="F285" s="1" t="s">
        <v>1012</v>
      </c>
      <c r="G285" s="41" t="e">
        <v>#N/A</v>
      </c>
      <c r="H285" s="41">
        <v>-3.6270090261969784E-2</v>
      </c>
      <c r="I285" s="41" t="e">
        <v>#N/A</v>
      </c>
      <c r="J285" s="41">
        <v>-3.5881589392241099E-2</v>
      </c>
      <c r="K285" s="42">
        <v>-3.6774893876146177</v>
      </c>
      <c r="L285" s="28">
        <v>-13.627693649239657</v>
      </c>
      <c r="M285" s="28">
        <v>5.8876830516618268</v>
      </c>
      <c r="N285" s="41">
        <v>0.11079531682864341</v>
      </c>
      <c r="O285" s="29">
        <v>2.7369494833015482</v>
      </c>
      <c r="P285" s="41">
        <v>0.4138617467421985</v>
      </c>
      <c r="Q285" s="43">
        <v>2.5987873241047937E-2</v>
      </c>
      <c r="R285" s="29" t="e">
        <v>#N/A</v>
      </c>
      <c r="S285" s="44">
        <v>290377000</v>
      </c>
      <c r="T285" s="44">
        <v>293521000</v>
      </c>
      <c r="U285" s="44">
        <v>335166848</v>
      </c>
      <c r="V285" s="29">
        <v>17.699199361334102</v>
      </c>
      <c r="W285" s="29" t="e">
        <v>#N/A</v>
      </c>
      <c r="X285" s="29">
        <v>-5.1881622850718232</v>
      </c>
      <c r="Y285" s="29" t="e">
        <v>#N/A</v>
      </c>
      <c r="Z285" s="29">
        <v>1.4235085332166302</v>
      </c>
      <c r="AA285" t="s">
        <v>71</v>
      </c>
      <c r="AB285" t="s">
        <v>101</v>
      </c>
      <c r="AC285" t="s">
        <v>166</v>
      </c>
    </row>
    <row r="286" spans="1:29" hidden="1" x14ac:dyDescent="0.25">
      <c r="E286" s="1" t="s">
        <v>1009</v>
      </c>
      <c r="F286" s="1" t="s">
        <v>1010</v>
      </c>
      <c r="G286" s="41" t="e">
        <v>#N/A</v>
      </c>
      <c r="H286" s="41">
        <v>-3.9222854755314146E-2</v>
      </c>
      <c r="I286" s="41" t="e">
        <v>#N/A</v>
      </c>
      <c r="J286" s="41">
        <v>-6.0370988162945394E-2</v>
      </c>
      <c r="K286" s="42">
        <v>-196.00615177584467</v>
      </c>
      <c r="L286" s="28" t="e">
        <v>#N/A</v>
      </c>
      <c r="M286" s="28">
        <v>4.3694647350277656</v>
      </c>
      <c r="N286" s="41">
        <v>-0.56049155022753239</v>
      </c>
      <c r="O286" s="29">
        <v>-9.813188259553371</v>
      </c>
      <c r="P286" s="41">
        <v>4.1221621393166825E-2</v>
      </c>
      <c r="Q286" s="43" t="e">
        <v>#N/A</v>
      </c>
      <c r="R286" s="29" t="e">
        <v>#N/A</v>
      </c>
      <c r="S286" s="44">
        <v>-76588000</v>
      </c>
      <c r="T286" s="44">
        <v>-49759000</v>
      </c>
      <c r="U286" s="44">
        <v>1460521984</v>
      </c>
      <c r="V286" s="29">
        <v>54.264466459000573</v>
      </c>
      <c r="W286" s="29">
        <v>92.66182079712317</v>
      </c>
      <c r="X286" s="29">
        <v>4.0621778138192006</v>
      </c>
      <c r="Y286" s="29" t="e">
        <v>#N/A</v>
      </c>
      <c r="Z286" s="29">
        <v>163.47568457507396</v>
      </c>
      <c r="AA286" t="s">
        <v>91</v>
      </c>
      <c r="AB286" t="s">
        <v>94</v>
      </c>
      <c r="AC286" t="s">
        <v>212</v>
      </c>
    </row>
    <row r="287" spans="1:29" hidden="1" x14ac:dyDescent="0.25">
      <c r="E287" s="1" t="s">
        <v>585</v>
      </c>
      <c r="F287" s="1" t="s">
        <v>586</v>
      </c>
      <c r="G287" s="41">
        <v>-3.5848701564352305E-2</v>
      </c>
      <c r="H287" s="41">
        <v>-5.3797071052456666E-2</v>
      </c>
      <c r="I287" s="41">
        <v>-3.5848701564352305E-2</v>
      </c>
      <c r="J287" s="41">
        <v>-5.3797071052456666E-2</v>
      </c>
      <c r="K287" s="42">
        <v>8.8605825242718446</v>
      </c>
      <c r="L287" s="28">
        <v>-148.55483018766034</v>
      </c>
      <c r="M287" s="28">
        <v>-245.361716857044</v>
      </c>
      <c r="N287" s="41">
        <v>-0.10280117695871129</v>
      </c>
      <c r="O287" s="29">
        <v>-1.3149771155906125</v>
      </c>
      <c r="P287" s="41">
        <v>0.87380810091697725</v>
      </c>
      <c r="Q287" s="43" t="e">
        <v>#N/A</v>
      </c>
      <c r="R287" s="29">
        <v>15.699755490503069</v>
      </c>
      <c r="S287" s="44">
        <v>270814000</v>
      </c>
      <c r="T287" s="44">
        <v>270814000</v>
      </c>
      <c r="U287" s="44">
        <v>787762112</v>
      </c>
      <c r="V287" s="29">
        <v>11.470463076573505</v>
      </c>
      <c r="W287" s="29">
        <v>11.539572405910686</v>
      </c>
      <c r="X287" s="29">
        <v>-5.2090598640011772</v>
      </c>
      <c r="Y287" s="29" t="e">
        <v>#N/A</v>
      </c>
      <c r="Z287" s="29">
        <v>0.79347880443226659</v>
      </c>
      <c r="AA287" t="s">
        <v>66</v>
      </c>
      <c r="AB287" t="s">
        <v>78</v>
      </c>
      <c r="AC287" t="s">
        <v>121</v>
      </c>
    </row>
    <row r="288" spans="1:29" hidden="1" x14ac:dyDescent="0.25">
      <c r="E288" s="1" t="s">
        <v>939</v>
      </c>
      <c r="F288" s="1" t="s">
        <v>940</v>
      </c>
      <c r="G288" s="41">
        <v>-2.8203901081345046</v>
      </c>
      <c r="H288" s="41">
        <v>-5.7431799737811352E-2</v>
      </c>
      <c r="I288" s="41">
        <v>-2.8203901081345046</v>
      </c>
      <c r="J288" s="41">
        <v>-5.7431799737811352E-2</v>
      </c>
      <c r="K288" s="42">
        <v>-9.606014200194906</v>
      </c>
      <c r="L288" s="28">
        <v>34.683039980104311</v>
      </c>
      <c r="M288" s="28">
        <v>17.604919793841805</v>
      </c>
      <c r="N288" s="41">
        <v>-4.8734617558812018E-2</v>
      </c>
      <c r="O288" s="29">
        <v>-0.65464369158878499</v>
      </c>
      <c r="P288" s="41">
        <v>0.30750532678175413</v>
      </c>
      <c r="Q288" s="43" t="e">
        <v>#N/A</v>
      </c>
      <c r="R288" s="29">
        <v>82.850031807288389</v>
      </c>
      <c r="S288" s="44">
        <v>112133000</v>
      </c>
      <c r="T288" s="44">
        <v>112133000</v>
      </c>
      <c r="U288" s="44">
        <v>923868096</v>
      </c>
      <c r="V288" s="29">
        <v>26.327485280373832</v>
      </c>
      <c r="W288" s="29" t="e">
        <v>#N/A</v>
      </c>
      <c r="X288" s="29">
        <v>3.0333334510990624</v>
      </c>
      <c r="Y288" s="29" t="e">
        <v>#N/A</v>
      </c>
      <c r="Z288" s="29">
        <v>6.531782315426276</v>
      </c>
      <c r="AA288" t="s">
        <v>76</v>
      </c>
      <c r="AB288" t="s">
        <v>89</v>
      </c>
      <c r="AC288" t="s">
        <v>941</v>
      </c>
    </row>
    <row r="289" spans="1:29" hidden="1" x14ac:dyDescent="0.25">
      <c r="E289" s="1" t="s">
        <v>364</v>
      </c>
      <c r="F289" s="1" t="s">
        <v>365</v>
      </c>
      <c r="G289" s="41">
        <v>-0.22755190013810508</v>
      </c>
      <c r="H289" s="41">
        <v>-7.1590377578253248E-2</v>
      </c>
      <c r="I289" s="41">
        <v>-0.22755190013810508</v>
      </c>
      <c r="J289" s="41">
        <v>-7.1590377578253248E-2</v>
      </c>
      <c r="K289" s="42">
        <v>67.776301760151028</v>
      </c>
      <c r="L289" s="28" t="e">
        <v>#N/A</v>
      </c>
      <c r="M289" s="28" t="e">
        <v>#N/A</v>
      </c>
      <c r="N289" s="41">
        <v>-0.2677379214625859</v>
      </c>
      <c r="O289" s="29">
        <v>-0.52935749432248302</v>
      </c>
      <c r="P289" s="41">
        <v>0.90994639737730021</v>
      </c>
      <c r="Q289" s="43" t="e">
        <v>#N/A</v>
      </c>
      <c r="R289" s="29" t="e">
        <v>#N/A</v>
      </c>
      <c r="S289" s="44">
        <v>109037000</v>
      </c>
      <c r="T289" s="44">
        <v>109037000</v>
      </c>
      <c r="U289" s="44">
        <v>248441344</v>
      </c>
      <c r="V289" s="29">
        <v>0.43121792202876602</v>
      </c>
      <c r="W289" s="29">
        <v>0.43254301477131152</v>
      </c>
      <c r="X289" s="29" t="e">
        <v>#N/A</v>
      </c>
      <c r="Y289" s="29">
        <v>10.539757294620065</v>
      </c>
      <c r="Z289" s="29">
        <v>0.48355249927789684</v>
      </c>
      <c r="AA289" t="s">
        <v>66</v>
      </c>
      <c r="AB289" t="s">
        <v>110</v>
      </c>
      <c r="AC289" t="s">
        <v>110</v>
      </c>
    </row>
    <row r="290" spans="1:29" hidden="1" x14ac:dyDescent="0.25">
      <c r="E290" s="1" t="s">
        <v>722</v>
      </c>
      <c r="F290" s="1" t="s">
        <v>723</v>
      </c>
      <c r="G290" s="41">
        <v>-5.5818217366980429E-2</v>
      </c>
      <c r="H290" s="41">
        <v>-7.3066451746066075E-2</v>
      </c>
      <c r="I290" s="41">
        <v>-5.5818217366980429E-2</v>
      </c>
      <c r="J290" s="41">
        <v>-7.3066451746066075E-2</v>
      </c>
      <c r="K290" s="42" t="e">
        <v>#N/A</v>
      </c>
      <c r="L290" s="28">
        <v>-701.80680243274594</v>
      </c>
      <c r="M290" s="28">
        <v>-2141.818181818182</v>
      </c>
      <c r="N290" s="41" t="e">
        <v>#N/A</v>
      </c>
      <c r="O290" s="29" t="e">
        <v>#N/A</v>
      </c>
      <c r="P290" s="41">
        <v>0.31386635410630565</v>
      </c>
      <c r="Q290" s="43" t="e">
        <v>#N/A</v>
      </c>
      <c r="R290" s="29" t="e">
        <v>#N/A</v>
      </c>
      <c r="S290" s="44">
        <v>101742999.99999999</v>
      </c>
      <c r="T290" s="44">
        <v>101742999.99999999</v>
      </c>
      <c r="U290" s="44">
        <v>260341136</v>
      </c>
      <c r="V290" s="29" t="e">
        <v>#N/A</v>
      </c>
      <c r="W290" s="29" t="e">
        <v>#N/A</v>
      </c>
      <c r="X290" s="29" t="e">
        <v>#N/A</v>
      </c>
      <c r="Y290" s="29" t="e">
        <v>#N/A</v>
      </c>
      <c r="Z290" s="29">
        <v>5.5264740821091944</v>
      </c>
      <c r="AA290" t="s">
        <v>69</v>
      </c>
      <c r="AB290" t="s">
        <v>70</v>
      </c>
      <c r="AC290" t="s">
        <v>70</v>
      </c>
    </row>
    <row r="291" spans="1:29" hidden="1" x14ac:dyDescent="0.25">
      <c r="E291" s="1" t="s">
        <v>702</v>
      </c>
      <c r="F291" s="1" t="s">
        <v>703</v>
      </c>
      <c r="G291" s="41">
        <v>-1.2370698670428743E-2</v>
      </c>
      <c r="H291" s="41">
        <v>-0.30610554296274045</v>
      </c>
      <c r="I291" s="41">
        <v>-9.9785400099719236E-3</v>
      </c>
      <c r="J291" s="41">
        <v>-0.27023378042802149</v>
      </c>
      <c r="K291" s="42">
        <v>-6.5063729019901855</v>
      </c>
      <c r="L291" s="28">
        <v>5.813218584043355</v>
      </c>
      <c r="M291" s="28">
        <v>-19.772906400312319</v>
      </c>
      <c r="N291" s="41">
        <v>-0.66769484610695506</v>
      </c>
      <c r="O291" s="29">
        <v>9.6742661860399792</v>
      </c>
      <c r="P291" s="41">
        <v>0.90722861623989992</v>
      </c>
      <c r="Q291" s="43" t="e">
        <v>#N/A</v>
      </c>
      <c r="R291" s="29">
        <v>18.045511577315157</v>
      </c>
      <c r="S291" s="44">
        <v>219702000</v>
      </c>
      <c r="T291" s="44">
        <v>248866000</v>
      </c>
      <c r="U291" s="44">
        <v>1052932416</v>
      </c>
      <c r="V291" s="29" t="e">
        <v>#N/A</v>
      </c>
      <c r="W291" s="29" t="e">
        <v>#N/A</v>
      </c>
      <c r="X291" s="29">
        <v>-1.0585777184044831</v>
      </c>
      <c r="Y291" s="29" t="e">
        <v>#N/A</v>
      </c>
      <c r="Z291" s="29">
        <v>1.2476247030878862</v>
      </c>
      <c r="AA291" t="s">
        <v>77</v>
      </c>
      <c r="AB291" t="s">
        <v>97</v>
      </c>
      <c r="AC291" t="s">
        <v>243</v>
      </c>
    </row>
    <row r="292" spans="1:29" hidden="1" x14ac:dyDescent="0.25">
      <c r="E292" s="1" t="s">
        <v>1055</v>
      </c>
      <c r="F292" s="1" t="s">
        <v>1056</v>
      </c>
      <c r="G292" s="41" t="e">
        <v>#N/A</v>
      </c>
      <c r="H292" s="41">
        <v>-0.33778429000575738</v>
      </c>
      <c r="I292" s="41" t="e">
        <v>#N/A</v>
      </c>
      <c r="J292" s="41">
        <v>-0.33778429000575738</v>
      </c>
      <c r="K292" s="42">
        <v>-34.115021010631303</v>
      </c>
      <c r="L292" s="28" t="e">
        <v>#N/A</v>
      </c>
      <c r="M292" s="28">
        <v>-28.176254694642743</v>
      </c>
      <c r="N292" s="41">
        <v>-3.8806525428479753E-2</v>
      </c>
      <c r="O292" s="29">
        <v>0.40447796871265101</v>
      </c>
      <c r="P292" s="41">
        <v>0.65485930229031797</v>
      </c>
      <c r="Q292" s="43" t="e">
        <v>#N/A</v>
      </c>
      <c r="R292" s="29" t="e">
        <v>#N/A</v>
      </c>
      <c r="S292" s="44">
        <v>643351000</v>
      </c>
      <c r="T292" s="44">
        <v>643351000</v>
      </c>
      <c r="U292" s="44">
        <v>1482217472</v>
      </c>
      <c r="V292" s="29" t="e">
        <v>#N/A</v>
      </c>
      <c r="W292" s="29" t="e">
        <v>#N/A</v>
      </c>
      <c r="X292" s="29">
        <v>8.1471850306187736</v>
      </c>
      <c r="Y292" s="29" t="e">
        <v>#N/A</v>
      </c>
      <c r="Z292" s="29">
        <v>2.5981808420358439</v>
      </c>
      <c r="AA292" t="s">
        <v>71</v>
      </c>
      <c r="AB292" t="s">
        <v>101</v>
      </c>
      <c r="AC292" t="s">
        <v>241</v>
      </c>
    </row>
    <row r="293" spans="1:29" hidden="1" x14ac:dyDescent="0.25">
      <c r="E293" s="1" t="s">
        <v>529</v>
      </c>
      <c r="F293" s="1" t="s">
        <v>530</v>
      </c>
      <c r="G293" s="41" t="e">
        <v>#N/A</v>
      </c>
      <c r="H293" s="41">
        <v>-0.35289969748840017</v>
      </c>
      <c r="I293" s="41">
        <v>-3.0959864612554862</v>
      </c>
      <c r="J293" s="41">
        <v>-0.35289969748840017</v>
      </c>
      <c r="K293" s="42">
        <v>-40.587000106770432</v>
      </c>
      <c r="L293" s="28" t="e">
        <v>#N/A</v>
      </c>
      <c r="M293" s="28">
        <v>-954.04993909866027</v>
      </c>
      <c r="N293" s="41">
        <v>6.2799977256079859E-2</v>
      </c>
      <c r="O293" s="29">
        <v>-0.30424707922155803</v>
      </c>
      <c r="P293" s="41">
        <v>0.65261003207561685</v>
      </c>
      <c r="Q293" s="43" t="e">
        <v>#N/A</v>
      </c>
      <c r="R293" s="29" t="e">
        <v>#N/A</v>
      </c>
      <c r="S293" s="44">
        <v>185778000</v>
      </c>
      <c r="T293" s="44">
        <v>185778000</v>
      </c>
      <c r="U293" s="44">
        <v>561302016</v>
      </c>
      <c r="V293" s="29" t="e">
        <v>#N/A</v>
      </c>
      <c r="W293" s="29" t="e">
        <v>#N/A</v>
      </c>
      <c r="X293" s="29">
        <v>-20.661425880216328</v>
      </c>
      <c r="Y293" s="29" t="e">
        <v>#N/A</v>
      </c>
      <c r="Z293" s="29">
        <v>2.8815658889492513</v>
      </c>
      <c r="AA293" t="s">
        <v>69</v>
      </c>
      <c r="AB293" t="s">
        <v>70</v>
      </c>
      <c r="AC293" t="s">
        <v>70</v>
      </c>
    </row>
    <row r="294" spans="1:29" hidden="1" x14ac:dyDescent="0.25">
      <c r="E294" s="1" t="s">
        <v>974</v>
      </c>
      <c r="F294" s="1" t="s">
        <v>975</v>
      </c>
      <c r="G294" s="41" t="e">
        <v>#N/A</v>
      </c>
      <c r="H294" s="41">
        <v>-0.35473502422221759</v>
      </c>
      <c r="I294" s="41" t="e">
        <v>#N/A</v>
      </c>
      <c r="J294" s="41">
        <v>-0.31741299030446163</v>
      </c>
      <c r="K294" s="42">
        <v>-24.087594730498935</v>
      </c>
      <c r="L294" s="28">
        <v>-3.2656063029268152</v>
      </c>
      <c r="M294" s="28">
        <v>-13.379900180965226</v>
      </c>
      <c r="N294" s="41">
        <v>1.4074592935347199E-2</v>
      </c>
      <c r="O294" s="29">
        <v>-0.29070381754851476</v>
      </c>
      <c r="P294" s="41">
        <v>0.38176498896213512</v>
      </c>
      <c r="Q294" s="43" t="e">
        <v>#N/A</v>
      </c>
      <c r="R294" s="29" t="e">
        <v>#N/A</v>
      </c>
      <c r="S294" s="44">
        <v>305137894.60000002</v>
      </c>
      <c r="T294" s="44">
        <v>341016599</v>
      </c>
      <c r="U294" s="44">
        <v>2829501440</v>
      </c>
      <c r="V294" s="29" t="e">
        <v>#N/A</v>
      </c>
      <c r="W294" s="29" t="e">
        <v>#N/A</v>
      </c>
      <c r="X294" s="29">
        <v>-3.421706550479414</v>
      </c>
      <c r="Y294" s="29" t="e">
        <v>#N/A</v>
      </c>
      <c r="Z294" s="29">
        <v>7.5395443884812057</v>
      </c>
      <c r="AA294" t="s">
        <v>66</v>
      </c>
      <c r="AB294" t="s">
        <v>84</v>
      </c>
      <c r="AC294" t="s">
        <v>237</v>
      </c>
    </row>
    <row r="295" spans="1:29" hidden="1" x14ac:dyDescent="0.25">
      <c r="E295" s="1" t="s">
        <v>427</v>
      </c>
      <c r="F295" s="1" t="s">
        <v>428</v>
      </c>
      <c r="G295" s="41">
        <v>1.150409350599382</v>
      </c>
      <c r="H295" s="41">
        <v>-0.36314254902743937</v>
      </c>
      <c r="I295" s="41">
        <v>1.041051787433978</v>
      </c>
      <c r="J295" s="41">
        <v>-0.34525708209918737</v>
      </c>
      <c r="K295" s="42">
        <v>16.212459967369629</v>
      </c>
      <c r="L295" s="28">
        <v>12.910643852296733</v>
      </c>
      <c r="M295" s="28">
        <v>-99.533134483205828</v>
      </c>
      <c r="N295" s="41">
        <v>-0.3382655364397853</v>
      </c>
      <c r="O295" s="29">
        <v>-5.8305475504322768</v>
      </c>
      <c r="P295" s="41">
        <v>0.7761176932643844</v>
      </c>
      <c r="Q295" s="43" t="e">
        <v>#N/A</v>
      </c>
      <c r="R295" s="29">
        <v>-10.50388862071194</v>
      </c>
      <c r="S295" s="44">
        <v>25037000</v>
      </c>
      <c r="T295" s="44">
        <v>26334000</v>
      </c>
      <c r="U295" s="44">
        <v>205843280</v>
      </c>
      <c r="V295" s="29">
        <v>53.497198847262247</v>
      </c>
      <c r="W295" s="29">
        <v>86.948608899297426</v>
      </c>
      <c r="X295" s="29">
        <v>-2.0199833582131022</v>
      </c>
      <c r="Y295" s="29">
        <v>68.557389745576586</v>
      </c>
      <c r="Z295" s="29">
        <v>4.3790895705826207</v>
      </c>
      <c r="AA295" t="s">
        <v>77</v>
      </c>
      <c r="AB295" t="s">
        <v>83</v>
      </c>
      <c r="AC295" t="s">
        <v>83</v>
      </c>
    </row>
    <row r="296" spans="1:29" hidden="1" x14ac:dyDescent="0.25">
      <c r="E296" s="1" t="s">
        <v>435</v>
      </c>
      <c r="F296" s="1" t="s">
        <v>436</v>
      </c>
      <c r="G296" s="41">
        <v>-7.827821061341278E-2</v>
      </c>
      <c r="H296" s="41">
        <v>-0.38060466910692281</v>
      </c>
      <c r="I296" s="41">
        <v>-7.1176256220192025E-2</v>
      </c>
      <c r="J296" s="41">
        <v>-0.34536993553345008</v>
      </c>
      <c r="K296" s="42">
        <v>-49.635135172165597</v>
      </c>
      <c r="L296" s="28">
        <v>19.068632296736769</v>
      </c>
      <c r="M296" s="28">
        <v>-128.78653404743687</v>
      </c>
      <c r="N296" s="41">
        <v>0.4631382938715774</v>
      </c>
      <c r="O296" s="29">
        <v>-3.4370992900031814</v>
      </c>
      <c r="P296" s="41">
        <v>0.30424255240064119</v>
      </c>
      <c r="Q296" s="43" t="e">
        <v>#N/A</v>
      </c>
      <c r="R296" s="29">
        <v>217.26196786041442</v>
      </c>
      <c r="S296" s="44">
        <v>956456999.99999988</v>
      </c>
      <c r="T296" s="44">
        <v>1054034999.9999999</v>
      </c>
      <c r="U296" s="44">
        <v>358552000</v>
      </c>
      <c r="V296" s="29" t="e">
        <v>#N/A</v>
      </c>
      <c r="W296" s="29" t="e">
        <v>#N/A</v>
      </c>
      <c r="X296" s="29">
        <v>-65.363740824204015</v>
      </c>
      <c r="Y296" s="29" t="e">
        <v>#N/A</v>
      </c>
      <c r="Z296" s="29">
        <v>0.39254213190654436</v>
      </c>
      <c r="AA296" t="s">
        <v>69</v>
      </c>
      <c r="AB296" t="s">
        <v>70</v>
      </c>
      <c r="AC296" t="s">
        <v>70</v>
      </c>
    </row>
    <row r="297" spans="1:29" hidden="1" x14ac:dyDescent="0.25">
      <c r="E297" s="1" t="s">
        <v>481</v>
      </c>
      <c r="F297" s="1" t="s">
        <v>482</v>
      </c>
      <c r="G297" s="41">
        <v>0.69102800720497437</v>
      </c>
      <c r="H297" s="41">
        <v>-0.48983563409275788</v>
      </c>
      <c r="I297" s="41">
        <v>0.69102800720497437</v>
      </c>
      <c r="J297" s="41">
        <v>-0.48983563409275788</v>
      </c>
      <c r="K297" s="42" t="e">
        <v>#N/A</v>
      </c>
      <c r="L297" s="28" t="e">
        <v>#N/A</v>
      </c>
      <c r="M297" s="28" t="e">
        <v>#N/A</v>
      </c>
      <c r="N297" s="41">
        <v>0.22913951145274825</v>
      </c>
      <c r="O297" s="29" t="e">
        <v>#N/A</v>
      </c>
      <c r="P297" s="41">
        <v>-0.14939653775426048</v>
      </c>
      <c r="Q297" s="43">
        <v>3.1811457854197381E-2</v>
      </c>
      <c r="R297" s="29" t="e">
        <v>#N/A</v>
      </c>
      <c r="S297" s="44">
        <v>3216349.2400000188</v>
      </c>
      <c r="T297" s="44">
        <v>3216349.2400000188</v>
      </c>
      <c r="U297" s="44">
        <v>211092464</v>
      </c>
      <c r="V297" s="29" t="e">
        <v>#N/A</v>
      </c>
      <c r="W297" s="29" t="e">
        <v>#N/A</v>
      </c>
      <c r="X297" s="29">
        <v>-19.836961426454895</v>
      </c>
      <c r="Y297" s="29" t="e">
        <v>#N/A</v>
      </c>
      <c r="Z297" s="29" t="e">
        <v>#N/A</v>
      </c>
      <c r="AA297" t="s">
        <v>66</v>
      </c>
      <c r="AB297" t="s">
        <v>78</v>
      </c>
      <c r="AC297" t="s">
        <v>121</v>
      </c>
    </row>
    <row r="298" spans="1:29" s="33" customFormat="1" x14ac:dyDescent="0.25">
      <c r="A298" s="33">
        <v>10</v>
      </c>
      <c r="B298" s="54"/>
      <c r="E298" s="51" t="s">
        <v>342</v>
      </c>
      <c r="F298" s="51" t="s">
        <v>343</v>
      </c>
      <c r="G298" s="52">
        <v>-0.6090021530021581</v>
      </c>
      <c r="H298" s="52">
        <v>-0.49393956320169818</v>
      </c>
      <c r="I298" s="52">
        <v>-2.2434804607022736</v>
      </c>
      <c r="J298" s="52">
        <v>-1.5973627167630071</v>
      </c>
      <c r="K298" s="53">
        <v>28.713531251602319</v>
      </c>
      <c r="L298" s="54">
        <v>44.783517337839484</v>
      </c>
      <c r="M298" s="54">
        <v>39.778531267436371</v>
      </c>
      <c r="N298" s="52">
        <v>-0.82628214168194425</v>
      </c>
      <c r="O298" s="55">
        <v>-3.7643216618481636</v>
      </c>
      <c r="P298" s="52">
        <v>0.51470507894305539</v>
      </c>
      <c r="Q298" s="56" t="e">
        <v>#N/A</v>
      </c>
      <c r="R298" s="55">
        <v>4.7484734513703426</v>
      </c>
      <c r="S298" s="57">
        <v>-1790299999.9999995</v>
      </c>
      <c r="T298" s="57">
        <v>-553599999.99999952</v>
      </c>
      <c r="U298" s="57">
        <v>15906469888</v>
      </c>
      <c r="V298" s="55">
        <v>13.267983604240282</v>
      </c>
      <c r="W298" s="55">
        <v>13.821494576687117</v>
      </c>
      <c r="X298" s="55">
        <v>6.5815986034072322</v>
      </c>
      <c r="Y298" s="55">
        <v>19.719669151640865</v>
      </c>
      <c r="Z298" s="55">
        <v>5.6278175247664874</v>
      </c>
      <c r="AA298" s="33" t="s">
        <v>91</v>
      </c>
      <c r="AB298" s="33" t="s">
        <v>92</v>
      </c>
      <c r="AC298" s="33" t="s">
        <v>233</v>
      </c>
    </row>
    <row r="299" spans="1:29" hidden="1" x14ac:dyDescent="0.25">
      <c r="E299" s="1" t="s">
        <v>896</v>
      </c>
      <c r="F299" s="1" t="s">
        <v>897</v>
      </c>
      <c r="G299" s="41" t="e">
        <v>#N/A</v>
      </c>
      <c r="H299" s="41">
        <v>-0.63510979304581039</v>
      </c>
      <c r="I299" s="41" t="e">
        <v>#N/A</v>
      </c>
      <c r="J299" s="41">
        <v>-0.63253061436300007</v>
      </c>
      <c r="K299" s="42">
        <v>81.902244982011212</v>
      </c>
      <c r="L299" s="28" t="e">
        <v>#N/A</v>
      </c>
      <c r="M299" s="28">
        <v>-3101.0621693070607</v>
      </c>
      <c r="N299" s="41">
        <v>0.14696555220610535</v>
      </c>
      <c r="O299" s="29">
        <v>-8.5358253561296795</v>
      </c>
      <c r="P299" s="41">
        <v>0.52557235817351911</v>
      </c>
      <c r="Q299" s="43" t="e">
        <v>#N/A</v>
      </c>
      <c r="R299" s="29" t="e">
        <v>#N/A</v>
      </c>
      <c r="S299" s="44">
        <v>2306529000</v>
      </c>
      <c r="T299" s="44">
        <v>2315934000</v>
      </c>
      <c r="U299" s="44">
        <v>1436356224</v>
      </c>
      <c r="V299" s="29" t="e">
        <v>#N/A</v>
      </c>
      <c r="W299" s="29" t="e">
        <v>#N/A</v>
      </c>
      <c r="X299" s="29">
        <v>-5.4350723515227379</v>
      </c>
      <c r="Y299" s="29" t="e">
        <v>#N/A</v>
      </c>
      <c r="Z299" s="29">
        <v>0.71645162076006019</v>
      </c>
      <c r="AA299" t="s">
        <v>69</v>
      </c>
      <c r="AB299" t="s">
        <v>70</v>
      </c>
      <c r="AC299" t="s">
        <v>70</v>
      </c>
    </row>
    <row r="300" spans="1:29" hidden="1" x14ac:dyDescent="0.25">
      <c r="E300" s="1" t="s">
        <v>928</v>
      </c>
      <c r="F300" s="1" t="s">
        <v>929</v>
      </c>
      <c r="G300" s="41">
        <v>-0.43365022477244863</v>
      </c>
      <c r="H300" s="41">
        <v>-0.73880791254554923</v>
      </c>
      <c r="I300" s="41">
        <v>-0.35930925735584851</v>
      </c>
      <c r="J300" s="41">
        <v>-0.69113708302897492</v>
      </c>
      <c r="K300" s="42">
        <v>-44.511308339949842</v>
      </c>
      <c r="L300" s="28" t="e">
        <v>#N/A</v>
      </c>
      <c r="M300" s="28">
        <v>-781.40592212636977</v>
      </c>
      <c r="N300" s="41">
        <v>-0.41248940218162938</v>
      </c>
      <c r="O300" s="29">
        <v>0.96601780336496901</v>
      </c>
      <c r="P300" s="41">
        <v>0.85329594814380172</v>
      </c>
      <c r="Q300" s="43" t="e">
        <v>#N/A</v>
      </c>
      <c r="R300" s="29" t="e">
        <v>#N/A</v>
      </c>
      <c r="S300" s="44">
        <v>107576000</v>
      </c>
      <c r="T300" s="44">
        <v>114996000</v>
      </c>
      <c r="U300" s="44">
        <v>425587808</v>
      </c>
      <c r="V300" s="29" t="e">
        <v>#N/A</v>
      </c>
      <c r="W300" s="29" t="e">
        <v>#N/A</v>
      </c>
      <c r="X300" s="29">
        <v>-11.879099694510046</v>
      </c>
      <c r="Y300" s="29" t="e">
        <v>#N/A</v>
      </c>
      <c r="Z300" s="29">
        <v>1.9476733220417204</v>
      </c>
      <c r="AA300" t="s">
        <v>73</v>
      </c>
      <c r="AB300" t="s">
        <v>180</v>
      </c>
      <c r="AC300" t="s">
        <v>930</v>
      </c>
    </row>
    <row r="301" spans="1:29" hidden="1" x14ac:dyDescent="0.25">
      <c r="E301" s="1" t="s">
        <v>308</v>
      </c>
      <c r="F301" s="1" t="s">
        <v>309</v>
      </c>
      <c r="G301" s="41">
        <v>-20.042038634777562</v>
      </c>
      <c r="H301" s="41">
        <v>-1.3678852383155946</v>
      </c>
      <c r="I301" s="41">
        <v>-20.042038634777562</v>
      </c>
      <c r="J301" s="41">
        <v>-1.3678852383155946</v>
      </c>
      <c r="K301" s="42" t="e">
        <v>#N/A</v>
      </c>
      <c r="L301" s="28" t="e">
        <v>#N/A</v>
      </c>
      <c r="M301" s="28" t="e">
        <v>#N/A</v>
      </c>
      <c r="N301" s="41" t="e">
        <v>#N/A</v>
      </c>
      <c r="O301" s="29" t="e">
        <v>#N/A</v>
      </c>
      <c r="P301" s="41">
        <v>0.88957794901485621</v>
      </c>
      <c r="Q301" s="43" t="e">
        <v>#N/A</v>
      </c>
      <c r="R301" s="29" t="e">
        <v>#N/A</v>
      </c>
      <c r="S301" s="44">
        <v>43220000</v>
      </c>
      <c r="T301" s="44">
        <v>43220000</v>
      </c>
      <c r="U301" s="44">
        <v>1021313408</v>
      </c>
      <c r="V301" s="29" t="e">
        <v>#N/A</v>
      </c>
      <c r="W301" s="29" t="e">
        <v>#N/A</v>
      </c>
      <c r="X301" s="29" t="e">
        <v>#N/A</v>
      </c>
      <c r="Y301" s="29" t="e">
        <v>#N/A</v>
      </c>
      <c r="Z301" s="29">
        <v>6.5145679547635194</v>
      </c>
      <c r="AA301" t="s">
        <v>76</v>
      </c>
      <c r="AB301" t="s">
        <v>162</v>
      </c>
      <c r="AC301" t="s">
        <v>163</v>
      </c>
    </row>
    <row r="302" spans="1:29" hidden="1" x14ac:dyDescent="0.25">
      <c r="E302" s="1" t="s">
        <v>1005</v>
      </c>
      <c r="F302" s="1" t="s">
        <v>1006</v>
      </c>
      <c r="G302" s="41" t="e">
        <v>#N/A</v>
      </c>
      <c r="H302" s="41">
        <v>-1.8677165895844419</v>
      </c>
      <c r="I302" s="41" t="e">
        <v>#N/A</v>
      </c>
      <c r="J302" s="41">
        <v>-1.8677165895844419</v>
      </c>
      <c r="K302" s="42">
        <v>-20.285034888098643</v>
      </c>
      <c r="L302" s="28" t="e">
        <v>#N/A</v>
      </c>
      <c r="M302" s="28">
        <v>-39.946104644263855</v>
      </c>
      <c r="N302" s="41">
        <v>-0.71967026019557767</v>
      </c>
      <c r="O302" s="29">
        <v>4.1995247130071478</v>
      </c>
      <c r="P302" s="41">
        <v>0.81518149647352478</v>
      </c>
      <c r="Q302" s="43" t="e">
        <v>#N/A</v>
      </c>
      <c r="R302" s="29" t="e">
        <v>#N/A</v>
      </c>
      <c r="S302" s="44">
        <v>58163000.00000006</v>
      </c>
      <c r="T302" s="44">
        <v>58163000.00000006</v>
      </c>
      <c r="U302" s="44">
        <v>788938240</v>
      </c>
      <c r="V302" s="29" t="e">
        <v>#N/A</v>
      </c>
      <c r="W302" s="29" t="e">
        <v>#N/A</v>
      </c>
      <c r="X302" s="29">
        <v>-4.3430522521002395</v>
      </c>
      <c r="Y302" s="29" t="e">
        <v>#N/A</v>
      </c>
      <c r="Z302" s="29">
        <v>1.5434872794444994</v>
      </c>
      <c r="AA302" t="s">
        <v>91</v>
      </c>
      <c r="AB302" t="s">
        <v>94</v>
      </c>
      <c r="AC302" t="s">
        <v>212</v>
      </c>
    </row>
    <row r="303" spans="1:29" hidden="1" x14ac:dyDescent="0.25">
      <c r="E303" s="1" t="s">
        <v>860</v>
      </c>
      <c r="F303" s="1" t="s">
        <v>861</v>
      </c>
      <c r="G303" s="41">
        <v>0.63939811777380107</v>
      </c>
      <c r="H303" s="41">
        <v>-1.9944782346957839</v>
      </c>
      <c r="I303" s="41">
        <v>-4.5980007567225444E-2</v>
      </c>
      <c r="J303" s="41">
        <v>-0.55009733195923505</v>
      </c>
      <c r="K303" s="42">
        <v>-41.484281467332082</v>
      </c>
      <c r="L303" s="28">
        <v>1.9843949034787165</v>
      </c>
      <c r="M303" s="28">
        <v>-25.004646512551993</v>
      </c>
      <c r="N303" s="41">
        <v>-0.19115871670391205</v>
      </c>
      <c r="O303" s="29">
        <v>0.94248761259478542</v>
      </c>
      <c r="P303" s="41">
        <v>0.4630232128057426</v>
      </c>
      <c r="Q303" s="43">
        <v>7.4248484066572057E-2</v>
      </c>
      <c r="R303" s="29" t="e">
        <v>#N/A</v>
      </c>
      <c r="S303" s="44">
        <v>48173000</v>
      </c>
      <c r="T303" s="44">
        <v>174660000</v>
      </c>
      <c r="U303" s="44">
        <v>324868192</v>
      </c>
      <c r="V303" s="29" t="e">
        <v>#N/A</v>
      </c>
      <c r="W303" s="29" t="e">
        <v>#N/A</v>
      </c>
      <c r="X303" s="29">
        <v>-5.1737906061298853</v>
      </c>
      <c r="Y303" s="29" t="e">
        <v>#N/A</v>
      </c>
      <c r="Z303" s="29">
        <v>1.7129635283941336</v>
      </c>
      <c r="AA303" t="s">
        <v>91</v>
      </c>
      <c r="AB303" t="s">
        <v>94</v>
      </c>
      <c r="AC303" t="s">
        <v>230</v>
      </c>
    </row>
    <row r="304" spans="1:29" hidden="1" x14ac:dyDescent="0.25">
      <c r="E304" s="1" t="s">
        <v>278</v>
      </c>
      <c r="F304" s="1" t="s">
        <v>279</v>
      </c>
      <c r="G304" s="41">
        <v>-2.0337642066476445</v>
      </c>
      <c r="H304" s="41">
        <v>-2.4130596706116032</v>
      </c>
      <c r="I304" s="41">
        <v>-2.0337642066476445</v>
      </c>
      <c r="J304" s="41">
        <v>-2.4130596706116032</v>
      </c>
      <c r="K304" s="42">
        <v>-111.52765968411018</v>
      </c>
      <c r="L304" s="28" t="e">
        <v>#N/A</v>
      </c>
      <c r="M304" s="28" t="e">
        <v>#N/A</v>
      </c>
      <c r="N304" s="41">
        <v>-0.32710058368399619</v>
      </c>
      <c r="O304" s="29">
        <v>0.57632286995515691</v>
      </c>
      <c r="P304" s="41">
        <v>0.35723496674358629</v>
      </c>
      <c r="Q304" s="43" t="e">
        <v>#N/A</v>
      </c>
      <c r="R304" s="29" t="e">
        <v>#N/A</v>
      </c>
      <c r="S304" s="44">
        <v>12083000</v>
      </c>
      <c r="T304" s="44">
        <v>12083000</v>
      </c>
      <c r="U304" s="44">
        <v>503102848</v>
      </c>
      <c r="V304" s="29" t="e">
        <v>#N/A</v>
      </c>
      <c r="W304" s="29" t="e">
        <v>#N/A</v>
      </c>
      <c r="X304" s="29">
        <v>-24.537634096222785</v>
      </c>
      <c r="Y304" s="29" t="e">
        <v>#N/A</v>
      </c>
      <c r="Z304" s="29">
        <v>5.691558287467223</v>
      </c>
      <c r="AA304" t="s">
        <v>73</v>
      </c>
      <c r="AB304" t="s">
        <v>96</v>
      </c>
      <c r="AC304" t="s">
        <v>104</v>
      </c>
    </row>
    <row r="305" spans="1:29" s="33" customFormat="1" x14ac:dyDescent="0.25">
      <c r="A305" s="33">
        <v>14</v>
      </c>
      <c r="B305" s="54"/>
      <c r="E305" s="51" t="s">
        <v>682</v>
      </c>
      <c r="F305" s="51" t="s">
        <v>683</v>
      </c>
      <c r="G305" s="52">
        <v>-20.301019084547136</v>
      </c>
      <c r="H305" s="52">
        <v>-3.1256072172102707</v>
      </c>
      <c r="I305" s="52">
        <v>-20.301019084547136</v>
      </c>
      <c r="J305" s="52">
        <v>-3.1256072172102707</v>
      </c>
      <c r="K305" s="53">
        <v>36.639580954939227</v>
      </c>
      <c r="L305" s="54">
        <v>58.732362136196841</v>
      </c>
      <c r="M305" s="54">
        <v>54.503963487869314</v>
      </c>
      <c r="N305" s="52">
        <v>-0.88873524093181577</v>
      </c>
      <c r="O305" s="55">
        <v>-2.7822177822177823</v>
      </c>
      <c r="P305" s="52">
        <v>0.73481544516540798</v>
      </c>
      <c r="Q305" s="56" t="e">
        <v>#N/A</v>
      </c>
      <c r="R305" s="55">
        <v>8.6340214378036553</v>
      </c>
      <c r="S305" s="57">
        <v>-144100000</v>
      </c>
      <c r="T305" s="57">
        <v>-144100000</v>
      </c>
      <c r="U305" s="57">
        <v>1138136192</v>
      </c>
      <c r="V305" s="55">
        <v>1.9636168631368631</v>
      </c>
      <c r="W305" s="55">
        <v>1.9867727223719676</v>
      </c>
      <c r="X305" s="55">
        <v>19.092403629798099</v>
      </c>
      <c r="Y305" s="55">
        <v>5.9759247459269194</v>
      </c>
      <c r="Z305" s="55">
        <v>2.0672480840479244</v>
      </c>
      <c r="AA305" s="33" t="s">
        <v>66</v>
      </c>
      <c r="AB305" s="33" t="s">
        <v>84</v>
      </c>
      <c r="AC305" s="33" t="s">
        <v>165</v>
      </c>
    </row>
    <row r="306" spans="1:29" hidden="1" x14ac:dyDescent="0.25">
      <c r="E306" s="1" t="s">
        <v>433</v>
      </c>
      <c r="F306" s="1" t="s">
        <v>434</v>
      </c>
      <c r="G306" s="41">
        <v>23.636814148187028</v>
      </c>
      <c r="H306" s="41">
        <v>-3.5278823799076657</v>
      </c>
      <c r="I306" s="41">
        <v>0.89507709792679457</v>
      </c>
      <c r="J306" s="41">
        <v>0.65300506703517813</v>
      </c>
      <c r="K306" s="42">
        <v>19.837745547608776</v>
      </c>
      <c r="L306" s="28">
        <v>45.979131299187728</v>
      </c>
      <c r="M306" s="28">
        <v>19.433164234306279</v>
      </c>
      <c r="N306" s="41">
        <v>-0.66938799723723741</v>
      </c>
      <c r="O306" s="29">
        <v>-3.6628511805850756</v>
      </c>
      <c r="P306" s="41">
        <v>0.70446279747740492</v>
      </c>
      <c r="Q306" s="43" t="e">
        <v>#N/A</v>
      </c>
      <c r="R306" s="29">
        <v>22.845661561416339</v>
      </c>
      <c r="S306" s="44">
        <v>-30538999.99999994</v>
      </c>
      <c r="T306" s="44">
        <v>164988000.00000006</v>
      </c>
      <c r="U306" s="44">
        <v>1607488128</v>
      </c>
      <c r="V306" s="29">
        <v>8.7612175136221353</v>
      </c>
      <c r="W306" s="29">
        <v>9.8422398110684703</v>
      </c>
      <c r="X306" s="29">
        <v>8.5242931262258139</v>
      </c>
      <c r="Y306" s="29">
        <v>15.846068353607864</v>
      </c>
      <c r="Z306" s="29">
        <v>2.5255434254318985</v>
      </c>
      <c r="AA306" t="s">
        <v>71</v>
      </c>
      <c r="AB306" t="s">
        <v>101</v>
      </c>
      <c r="AC306" t="s">
        <v>229</v>
      </c>
    </row>
    <row r="307" spans="1:29" hidden="1" x14ac:dyDescent="0.25">
      <c r="E307" s="1" t="s">
        <v>981</v>
      </c>
      <c r="F307" s="1" t="s">
        <v>982</v>
      </c>
      <c r="G307" s="41" t="e">
        <v>#N/A</v>
      </c>
      <c r="H307" s="41">
        <v>-7.3251991888611432</v>
      </c>
      <c r="I307" s="41" t="e">
        <v>#N/A</v>
      </c>
      <c r="J307" s="41">
        <v>-7.3251991888611432</v>
      </c>
      <c r="K307" s="42">
        <v>-45.808275612124348</v>
      </c>
      <c r="L307" s="28" t="e">
        <v>#N/A</v>
      </c>
      <c r="M307" s="28">
        <v>-45.520628683693523</v>
      </c>
      <c r="N307" s="41">
        <v>-0.56896344829241352</v>
      </c>
      <c r="O307" s="29">
        <v>1.8549084338186899</v>
      </c>
      <c r="P307" s="41">
        <v>0.64912280701754388</v>
      </c>
      <c r="Q307" s="43" t="e">
        <v>#N/A</v>
      </c>
      <c r="R307" s="29" t="e">
        <v>#N/A</v>
      </c>
      <c r="S307" s="44">
        <v>7945676.1999999434</v>
      </c>
      <c r="T307" s="44">
        <v>7945676.1999999434</v>
      </c>
      <c r="U307" s="44">
        <v>363436064</v>
      </c>
      <c r="V307" s="29" t="e">
        <v>#N/A</v>
      </c>
      <c r="W307" s="29" t="e">
        <v>#N/A</v>
      </c>
      <c r="X307" s="29" t="e">
        <v>#N/A</v>
      </c>
      <c r="Y307" s="29" t="e">
        <v>#N/A</v>
      </c>
      <c r="Z307" s="29">
        <v>3.6213997991099736</v>
      </c>
      <c r="AA307" t="s">
        <v>73</v>
      </c>
      <c r="AB307" t="s">
        <v>203</v>
      </c>
      <c r="AC307" t="s">
        <v>204</v>
      </c>
    </row>
    <row r="308" spans="1:29" hidden="1" x14ac:dyDescent="0.25">
      <c r="E308" s="1" t="s">
        <v>972</v>
      </c>
      <c r="F308" s="1" t="s">
        <v>973</v>
      </c>
      <c r="G308" s="41" t="e">
        <v>#N/A</v>
      </c>
      <c r="H308" s="41">
        <v>-16.150000000000023</v>
      </c>
      <c r="I308" s="41" t="e">
        <v>#N/A</v>
      </c>
      <c r="J308" s="41">
        <v>-4.7990386191074474</v>
      </c>
      <c r="K308" s="42">
        <v>-237.65004472737107</v>
      </c>
      <c r="L308" s="28" t="e">
        <v>#N/A</v>
      </c>
      <c r="M308" s="28">
        <v>-39.988821842946884</v>
      </c>
      <c r="N308" s="41">
        <v>0.31057818490595168</v>
      </c>
      <c r="O308" s="29">
        <v>-1.5956931122111961</v>
      </c>
      <c r="P308" s="41">
        <v>2.4060639313946636E-3</v>
      </c>
      <c r="Q308" s="43" t="e">
        <v>#N/A</v>
      </c>
      <c r="R308" s="29" t="e">
        <v>#N/A</v>
      </c>
      <c r="S308" s="44">
        <v>5439999.9999999925</v>
      </c>
      <c r="T308" s="44">
        <v>18306999.999999993</v>
      </c>
      <c r="U308" s="44">
        <v>524721280</v>
      </c>
      <c r="V308" s="29" t="e">
        <v>#N/A</v>
      </c>
      <c r="W308" s="29" t="e">
        <v>#N/A</v>
      </c>
      <c r="X308" s="29">
        <v>-9.519406871159104</v>
      </c>
      <c r="Y308" s="29" t="e">
        <v>#N/A</v>
      </c>
      <c r="Z308" s="29">
        <v>9.2191780821917817</v>
      </c>
      <c r="AA308" t="s">
        <v>71</v>
      </c>
      <c r="AB308" t="s">
        <v>101</v>
      </c>
      <c r="AC308" t="s">
        <v>115</v>
      </c>
    </row>
    <row r="309" spans="1:29" hidden="1" x14ac:dyDescent="0.25">
      <c r="E309" s="1" t="s">
        <v>978</v>
      </c>
      <c r="F309" s="1" t="s">
        <v>979</v>
      </c>
      <c r="G309" s="41" t="e">
        <v>#N/A</v>
      </c>
      <c r="H309" s="41">
        <v>-19.181895093062607</v>
      </c>
      <c r="I309" s="41" t="e">
        <v>#N/A</v>
      </c>
      <c r="J309" s="41">
        <v>-19.181895093062607</v>
      </c>
      <c r="K309" s="42" t="e">
        <v>#N/A</v>
      </c>
      <c r="L309" s="28" t="e">
        <v>#N/A</v>
      </c>
      <c r="M309" s="28">
        <v>-1401.3307984790874</v>
      </c>
      <c r="N309" s="41" t="e">
        <v>#N/A</v>
      </c>
      <c r="O309" s="29" t="e">
        <v>#N/A</v>
      </c>
      <c r="P309" s="41">
        <v>0.77170309472837317</v>
      </c>
      <c r="Q309" s="43" t="e">
        <v>#N/A</v>
      </c>
      <c r="R309" s="29" t="e">
        <v>#N/A</v>
      </c>
      <c r="S309" s="44">
        <v>1182000</v>
      </c>
      <c r="T309" s="44">
        <v>1182000</v>
      </c>
      <c r="U309" s="44">
        <v>380456384</v>
      </c>
      <c r="V309" s="29" t="e">
        <v>#N/A</v>
      </c>
      <c r="W309" s="29" t="e">
        <v>#N/A</v>
      </c>
      <c r="X309" s="29" t="e">
        <v>#N/A</v>
      </c>
      <c r="Y309" s="29" t="e">
        <v>#N/A</v>
      </c>
      <c r="Z309" s="29">
        <v>2.2454570483591678</v>
      </c>
      <c r="AA309" t="s">
        <v>73</v>
      </c>
      <c r="AB309" t="s">
        <v>203</v>
      </c>
      <c r="AC309" t="s">
        <v>980</v>
      </c>
    </row>
    <row r="310" spans="1:29" hidden="1" x14ac:dyDescent="0.25">
      <c r="E310" s="1" t="s">
        <v>970</v>
      </c>
      <c r="F310" s="1" t="s">
        <v>971</v>
      </c>
      <c r="G310" s="41">
        <v>1.409372897915333</v>
      </c>
      <c r="H310" s="41">
        <v>-21.882015096816538</v>
      </c>
      <c r="I310" s="41">
        <v>1.409372897915333</v>
      </c>
      <c r="J310" s="41">
        <v>-21.882015096816538</v>
      </c>
      <c r="K310" s="42">
        <v>-69.567646130849255</v>
      </c>
      <c r="L310" s="28">
        <v>-19607.276271822157</v>
      </c>
      <c r="M310" s="28">
        <v>-2088.8981081978095</v>
      </c>
      <c r="N310" s="41">
        <v>-0.48186359086313313</v>
      </c>
      <c r="O310" s="29">
        <v>0.70670601254149756</v>
      </c>
      <c r="P310" s="41">
        <v>0.68775999879275052</v>
      </c>
      <c r="Q310" s="43" t="e">
        <v>#N/A</v>
      </c>
      <c r="R310" s="29" t="e">
        <v>#N/A</v>
      </c>
      <c r="S310" s="44">
        <v>6094000</v>
      </c>
      <c r="T310" s="44">
        <v>6094000</v>
      </c>
      <c r="U310" s="44">
        <v>369485760</v>
      </c>
      <c r="V310" s="29" t="e">
        <v>#N/A</v>
      </c>
      <c r="W310" s="29" t="e">
        <v>#N/A</v>
      </c>
      <c r="X310" s="29">
        <v>-35.51990745191371</v>
      </c>
      <c r="Y310" s="29" t="e">
        <v>#N/A</v>
      </c>
      <c r="Z310" s="29">
        <v>2.2667835868817923</v>
      </c>
      <c r="AA310" t="s">
        <v>76</v>
      </c>
      <c r="AB310" t="s">
        <v>162</v>
      </c>
      <c r="AC310" t="s">
        <v>163</v>
      </c>
    </row>
    <row r="315" spans="1:29" x14ac:dyDescent="0.25">
      <c r="I315" s="67"/>
      <c r="J315" s="67"/>
    </row>
    <row r="510" spans="2:29" s="61" customFormat="1" x14ac:dyDescent="0.25">
      <c r="B510" s="28"/>
      <c r="C510"/>
      <c r="D510"/>
      <c r="E510" s="1"/>
      <c r="F510" s="1"/>
      <c r="G510" s="41"/>
      <c r="H510" s="41"/>
      <c r="I510" s="41"/>
      <c r="J510" s="41"/>
      <c r="K510" s="42"/>
      <c r="L510" s="28"/>
      <c r="M510" s="28"/>
      <c r="N510" s="41"/>
      <c r="O510" s="29"/>
      <c r="P510" s="41"/>
      <c r="Q510" s="43"/>
      <c r="R510" s="29"/>
      <c r="S510" s="44"/>
      <c r="T510" s="44"/>
      <c r="U510" s="44"/>
      <c r="V510" s="29"/>
      <c r="W510" s="29"/>
      <c r="X510" s="29"/>
      <c r="Y510" s="29"/>
      <c r="Z510" s="29"/>
      <c r="AA510"/>
      <c r="AB510"/>
      <c r="AC510"/>
    </row>
    <row r="598" spans="2:29" s="33" customFormat="1" x14ac:dyDescent="0.25">
      <c r="B598" s="28"/>
      <c r="C598"/>
      <c r="D598"/>
      <c r="E598" s="1"/>
      <c r="F598" s="1"/>
      <c r="G598" s="41"/>
      <c r="H598" s="41"/>
      <c r="I598" s="41"/>
      <c r="J598" s="41"/>
      <c r="K598" s="42"/>
      <c r="L598" s="28"/>
      <c r="M598" s="28"/>
      <c r="N598" s="41"/>
      <c r="O598" s="29"/>
      <c r="P598" s="41"/>
      <c r="Q598" s="43"/>
      <c r="R598" s="29"/>
      <c r="S598" s="44"/>
      <c r="T598" s="44"/>
      <c r="U598" s="44"/>
      <c r="V598" s="29"/>
      <c r="W598" s="29"/>
      <c r="X598" s="29"/>
      <c r="Y598" s="29"/>
      <c r="Z598" s="29"/>
      <c r="AA598"/>
      <c r="AB598"/>
      <c r="AC598"/>
    </row>
    <row r="600" spans="2:29" s="61" customFormat="1" x14ac:dyDescent="0.25">
      <c r="B600" s="28"/>
      <c r="C600"/>
      <c r="D600"/>
      <c r="E600" s="1"/>
      <c r="F600" s="1"/>
      <c r="G600" s="41"/>
      <c r="H600" s="41"/>
      <c r="I600" s="41"/>
      <c r="J600" s="41"/>
      <c r="K600" s="42"/>
      <c r="L600" s="28"/>
      <c r="M600" s="28"/>
      <c r="N600" s="41"/>
      <c r="O600" s="29"/>
      <c r="P600" s="41"/>
      <c r="Q600" s="43"/>
      <c r="R600" s="29"/>
      <c r="S600" s="44"/>
      <c r="T600" s="44"/>
      <c r="U600" s="44"/>
      <c r="V600" s="29"/>
      <c r="W600" s="29"/>
      <c r="X600" s="29"/>
      <c r="Y600" s="29"/>
      <c r="Z600" s="29"/>
      <c r="AA600"/>
      <c r="AB600"/>
      <c r="AC600"/>
    </row>
    <row r="638" spans="2:29" s="61" customFormat="1" x14ac:dyDescent="0.25">
      <c r="B638" s="28"/>
      <c r="C638"/>
      <c r="D638"/>
      <c r="E638" s="1"/>
      <c r="F638" s="1"/>
      <c r="G638" s="41"/>
      <c r="H638" s="41"/>
      <c r="I638" s="41"/>
      <c r="J638" s="41"/>
      <c r="K638" s="42"/>
      <c r="L638" s="28"/>
      <c r="M638" s="28"/>
      <c r="N638" s="41"/>
      <c r="O638" s="29"/>
      <c r="P638" s="41"/>
      <c r="Q638" s="43"/>
      <c r="R638" s="29"/>
      <c r="S638" s="44"/>
      <c r="T638" s="44"/>
      <c r="U638" s="44"/>
      <c r="V638" s="29"/>
      <c r="W638" s="29"/>
      <c r="X638" s="29"/>
      <c r="Y638" s="29"/>
      <c r="Z638" s="29"/>
      <c r="AA638"/>
      <c r="AB638"/>
      <c r="AC638"/>
    </row>
    <row r="650" spans="2:29" s="33" customFormat="1" x14ac:dyDescent="0.25">
      <c r="B650" s="28"/>
      <c r="C650"/>
      <c r="D650"/>
      <c r="E650" s="1"/>
      <c r="F650" s="1"/>
      <c r="G650" s="41"/>
      <c r="H650" s="41"/>
      <c r="I650" s="41"/>
      <c r="J650" s="41"/>
      <c r="K650" s="42"/>
      <c r="L650" s="28"/>
      <c r="M650" s="28"/>
      <c r="N650" s="41"/>
      <c r="O650" s="29"/>
      <c r="P650" s="41"/>
      <c r="Q650" s="43"/>
      <c r="R650" s="29"/>
      <c r="S650" s="44"/>
      <c r="T650" s="44"/>
      <c r="U650" s="44"/>
      <c r="V650" s="29"/>
      <c r="W650" s="29"/>
      <c r="X650" s="29"/>
      <c r="Y650" s="29"/>
      <c r="Z650" s="29"/>
      <c r="AA650"/>
      <c r="AB650"/>
      <c r="AC650"/>
    </row>
    <row r="737" spans="2:29" s="33" customFormat="1" x14ac:dyDescent="0.25">
      <c r="B737" s="28"/>
      <c r="C737"/>
      <c r="D737"/>
      <c r="E737" s="1"/>
      <c r="F737" s="1"/>
      <c r="G737" s="41"/>
      <c r="H737" s="41"/>
      <c r="I737" s="41"/>
      <c r="J737" s="41"/>
      <c r="K737" s="42"/>
      <c r="L737" s="28"/>
      <c r="M737" s="28"/>
      <c r="N737" s="41"/>
      <c r="O737" s="29"/>
      <c r="P737" s="41"/>
      <c r="Q737" s="43"/>
      <c r="R737" s="29"/>
      <c r="S737" s="44"/>
      <c r="T737" s="44"/>
      <c r="U737" s="44"/>
      <c r="V737" s="29"/>
      <c r="W737" s="29"/>
      <c r="X737" s="29"/>
      <c r="Y737" s="29"/>
      <c r="Z737" s="29"/>
      <c r="AA737"/>
      <c r="AB737"/>
      <c r="AC737"/>
    </row>
    <row r="743" spans="2:29" s="61" customFormat="1" x14ac:dyDescent="0.25">
      <c r="B743" s="28"/>
      <c r="C743"/>
      <c r="D743"/>
      <c r="E743" s="1"/>
      <c r="F743" s="1"/>
      <c r="G743" s="41"/>
      <c r="H743" s="41"/>
      <c r="I743" s="41"/>
      <c r="J743" s="41"/>
      <c r="K743" s="42"/>
      <c r="L743" s="28"/>
      <c r="M743" s="28"/>
      <c r="N743" s="41"/>
      <c r="O743" s="29"/>
      <c r="P743" s="41"/>
      <c r="Q743" s="43"/>
      <c r="R743" s="29"/>
      <c r="S743" s="44"/>
      <c r="T743" s="44"/>
      <c r="U743" s="44"/>
      <c r="V743" s="29"/>
      <c r="W743" s="29"/>
      <c r="X743" s="29"/>
      <c r="Y743" s="29"/>
      <c r="Z743" s="29"/>
      <c r="AA743"/>
      <c r="AB743"/>
      <c r="AC743"/>
    </row>
    <row r="748" spans="2:29" s="61" customFormat="1" x14ac:dyDescent="0.25">
      <c r="B748" s="28"/>
      <c r="C748"/>
      <c r="D748"/>
      <c r="E748" s="1"/>
      <c r="F748" s="1"/>
      <c r="G748" s="41"/>
      <c r="H748" s="41"/>
      <c r="I748" s="41"/>
      <c r="J748" s="41"/>
      <c r="K748" s="42"/>
      <c r="L748" s="28"/>
      <c r="M748" s="28"/>
      <c r="N748" s="41"/>
      <c r="O748" s="29"/>
      <c r="P748" s="41"/>
      <c r="Q748" s="43"/>
      <c r="R748" s="29"/>
      <c r="S748" s="44"/>
      <c r="T748" s="44"/>
      <c r="U748" s="44"/>
      <c r="V748" s="29"/>
      <c r="W748" s="29"/>
      <c r="X748" s="29"/>
      <c r="Y748" s="29"/>
      <c r="Z748" s="29"/>
      <c r="AA748"/>
      <c r="AB748"/>
      <c r="AC748"/>
    </row>
    <row r="751" spans="2:29" s="33" customFormat="1" x14ac:dyDescent="0.25">
      <c r="B751" s="28"/>
      <c r="C751"/>
      <c r="D751"/>
      <c r="E751" s="1"/>
      <c r="F751" s="1"/>
      <c r="G751" s="41"/>
      <c r="H751" s="41"/>
      <c r="I751" s="41"/>
      <c r="J751" s="41"/>
      <c r="K751" s="42"/>
      <c r="L751" s="28"/>
      <c r="M751" s="28"/>
      <c r="N751" s="41"/>
      <c r="O751" s="29"/>
      <c r="P751" s="41"/>
      <c r="Q751" s="43"/>
      <c r="R751" s="29"/>
      <c r="S751" s="44"/>
      <c r="T751" s="44"/>
      <c r="U751" s="44"/>
      <c r="V751" s="29"/>
      <c r="W751" s="29"/>
      <c r="X751" s="29"/>
      <c r="Y751" s="29"/>
      <c r="Z751" s="29"/>
      <c r="AA751"/>
      <c r="AB751"/>
      <c r="AC751"/>
    </row>
    <row r="752" spans="2:29" s="33" customFormat="1" x14ac:dyDescent="0.25">
      <c r="B752" s="28"/>
      <c r="C752"/>
      <c r="D752"/>
      <c r="E752" s="1"/>
      <c r="F752" s="1"/>
      <c r="G752" s="41"/>
      <c r="H752" s="41"/>
      <c r="I752" s="41"/>
      <c r="J752" s="41"/>
      <c r="K752" s="42"/>
      <c r="L752" s="28"/>
      <c r="M752" s="28"/>
      <c r="N752" s="41"/>
      <c r="O752" s="29"/>
      <c r="P752" s="41"/>
      <c r="Q752" s="43"/>
      <c r="R752" s="29"/>
      <c r="S752" s="44"/>
      <c r="T752" s="44"/>
      <c r="U752" s="44"/>
      <c r="V752" s="29"/>
      <c r="W752" s="29"/>
      <c r="X752" s="29"/>
      <c r="Y752" s="29"/>
      <c r="Z752" s="29"/>
      <c r="AA752"/>
      <c r="AB752"/>
      <c r="AC752"/>
    </row>
    <row r="793" spans="2:29" s="60" customFormat="1" x14ac:dyDescent="0.25">
      <c r="B793" s="28"/>
      <c r="C793"/>
      <c r="D793"/>
      <c r="E793" s="1"/>
      <c r="F793" s="1"/>
      <c r="G793" s="41"/>
      <c r="H793" s="41"/>
      <c r="I793" s="41"/>
      <c r="J793" s="41"/>
      <c r="K793" s="42"/>
      <c r="L793" s="28"/>
      <c r="M793" s="28"/>
      <c r="N793" s="41"/>
      <c r="O793" s="29"/>
      <c r="P793" s="41"/>
      <c r="Q793" s="43"/>
      <c r="R793" s="29"/>
      <c r="S793" s="44"/>
      <c r="T793" s="44"/>
      <c r="U793" s="44"/>
      <c r="V793" s="29"/>
      <c r="W793" s="29"/>
      <c r="X793" s="29"/>
      <c r="Y793" s="29"/>
      <c r="Z793" s="29"/>
      <c r="AA793"/>
      <c r="AB793"/>
      <c r="AC793"/>
    </row>
    <row r="797" spans="2:29" s="33" customFormat="1" x14ac:dyDescent="0.25">
      <c r="B797" s="28"/>
      <c r="C797"/>
      <c r="D797"/>
      <c r="E797" s="1"/>
      <c r="F797" s="1"/>
      <c r="G797" s="41"/>
      <c r="H797" s="41"/>
      <c r="I797" s="41"/>
      <c r="J797" s="41"/>
      <c r="K797" s="42"/>
      <c r="L797" s="28"/>
      <c r="M797" s="28"/>
      <c r="N797" s="41"/>
      <c r="O797" s="29"/>
      <c r="P797" s="41"/>
      <c r="Q797" s="43"/>
      <c r="R797" s="29"/>
      <c r="S797" s="44"/>
      <c r="T797" s="44"/>
      <c r="U797" s="44"/>
      <c r="V797" s="29"/>
      <c r="W797" s="29"/>
      <c r="X797" s="29"/>
      <c r="Y797" s="29"/>
      <c r="Z797" s="29"/>
      <c r="AA797"/>
      <c r="AB797"/>
      <c r="AC797"/>
    </row>
    <row r="815" spans="2:29" x14ac:dyDescent="0.25">
      <c r="B815" s="54"/>
      <c r="C815" s="33"/>
      <c r="D815" s="33"/>
      <c r="E815" s="51"/>
      <c r="F815" s="51"/>
      <c r="G815" s="52"/>
      <c r="H815" s="52"/>
      <c r="I815" s="52"/>
      <c r="J815" s="52"/>
      <c r="K815" s="53"/>
      <c r="L815" s="54"/>
      <c r="M815" s="54"/>
      <c r="N815" s="52"/>
      <c r="O815" s="55"/>
      <c r="P815" s="52"/>
      <c r="Q815" s="56"/>
      <c r="R815" s="55"/>
      <c r="S815" s="57"/>
      <c r="T815" s="57"/>
      <c r="U815" s="57"/>
      <c r="V815" s="55"/>
      <c r="W815" s="55"/>
      <c r="X815" s="55"/>
      <c r="Y815" s="55"/>
      <c r="Z815" s="55"/>
      <c r="AA815" s="33"/>
      <c r="AB815" s="33"/>
      <c r="AC815" s="33"/>
    </row>
    <row r="818" spans="2:29" s="61" customFormat="1" x14ac:dyDescent="0.25">
      <c r="B818" s="28"/>
      <c r="C818"/>
      <c r="D818"/>
      <c r="E818" s="1"/>
      <c r="F818" s="1"/>
      <c r="G818" s="41"/>
      <c r="H818" s="41"/>
      <c r="I818" s="41"/>
      <c r="J818" s="41"/>
      <c r="K818" s="42"/>
      <c r="L818" s="28"/>
      <c r="M818" s="28"/>
      <c r="N818" s="41"/>
      <c r="O818" s="29"/>
      <c r="P818" s="41"/>
      <c r="Q818" s="43"/>
      <c r="R818" s="29"/>
      <c r="S818" s="44"/>
      <c r="T818" s="44"/>
      <c r="U818" s="44"/>
      <c r="V818" s="29"/>
      <c r="W818" s="29"/>
      <c r="X818" s="29"/>
      <c r="Y818" s="29"/>
      <c r="Z818" s="29"/>
      <c r="AA818"/>
      <c r="AB818"/>
      <c r="AC818"/>
    </row>
    <row r="820" spans="2:29" s="33" customFormat="1" x14ac:dyDescent="0.25">
      <c r="B820" s="28"/>
      <c r="C820"/>
      <c r="D820"/>
      <c r="E820" s="1"/>
      <c r="F820" s="1"/>
      <c r="G820" s="41"/>
      <c r="H820" s="41"/>
      <c r="I820" s="41"/>
      <c r="J820" s="41"/>
      <c r="K820" s="42"/>
      <c r="L820" s="28"/>
      <c r="M820" s="28"/>
      <c r="N820" s="41"/>
      <c r="O820" s="29"/>
      <c r="P820" s="41"/>
      <c r="Q820" s="43"/>
      <c r="R820" s="29"/>
      <c r="S820" s="44"/>
      <c r="T820" s="44"/>
      <c r="U820" s="44"/>
      <c r="V820" s="29"/>
      <c r="W820" s="29"/>
      <c r="X820" s="29"/>
      <c r="Y820" s="29"/>
      <c r="Z820" s="29"/>
      <c r="AA820"/>
      <c r="AB820"/>
      <c r="AC820"/>
    </row>
    <row r="837" spans="2:29" s="61" customFormat="1" x14ac:dyDescent="0.25">
      <c r="B837" s="28"/>
      <c r="C837"/>
      <c r="D837"/>
      <c r="E837" s="1"/>
      <c r="F837" s="1"/>
      <c r="G837" s="41"/>
      <c r="H837" s="41"/>
      <c r="I837" s="41"/>
      <c r="J837" s="41"/>
      <c r="K837" s="42"/>
      <c r="L837" s="28"/>
      <c r="M837" s="28"/>
      <c r="N837" s="41"/>
      <c r="O837" s="29"/>
      <c r="P837" s="41"/>
      <c r="Q837" s="43"/>
      <c r="R837" s="29"/>
      <c r="S837" s="44"/>
      <c r="T837" s="44"/>
      <c r="U837" s="44"/>
      <c r="V837" s="29"/>
      <c r="W837" s="29"/>
      <c r="X837" s="29"/>
      <c r="Y837" s="29"/>
      <c r="Z837" s="29"/>
      <c r="AA837"/>
      <c r="AB837"/>
      <c r="AC837"/>
    </row>
    <row r="840" spans="2:29" s="33" customFormat="1" x14ac:dyDescent="0.25">
      <c r="B840" s="28"/>
      <c r="C840"/>
      <c r="D840"/>
      <c r="E840" s="1"/>
      <c r="F840" s="1"/>
      <c r="G840" s="41"/>
      <c r="H840" s="41"/>
      <c r="I840" s="41"/>
      <c r="J840" s="41"/>
      <c r="K840" s="42"/>
      <c r="L840" s="28"/>
      <c r="M840" s="28"/>
      <c r="N840" s="41"/>
      <c r="O840" s="29"/>
      <c r="P840" s="41"/>
      <c r="Q840" s="43"/>
      <c r="R840" s="29"/>
      <c r="S840" s="44"/>
      <c r="T840" s="44"/>
      <c r="U840" s="44"/>
      <c r="V840" s="29"/>
      <c r="W840" s="29"/>
      <c r="X840" s="29"/>
      <c r="Y840" s="29"/>
      <c r="Z840" s="29"/>
      <c r="AA840"/>
      <c r="AB840"/>
      <c r="AC840"/>
    </row>
    <row r="846" spans="2:29" s="33" customFormat="1" x14ac:dyDescent="0.25">
      <c r="B846" s="28"/>
      <c r="C846"/>
      <c r="D846"/>
      <c r="E846" s="1"/>
      <c r="F846" s="1"/>
      <c r="G846" s="41"/>
      <c r="H846" s="41"/>
      <c r="I846" s="41"/>
      <c r="J846" s="41"/>
      <c r="K846" s="42"/>
      <c r="L846" s="28"/>
      <c r="M846" s="28"/>
      <c r="N846" s="41"/>
      <c r="O846" s="29"/>
      <c r="P846" s="41"/>
      <c r="Q846" s="43"/>
      <c r="R846" s="29"/>
      <c r="S846" s="44"/>
      <c r="T846" s="44"/>
      <c r="U846" s="44"/>
      <c r="V846" s="29"/>
      <c r="W846" s="29"/>
      <c r="X846" s="29"/>
      <c r="Y846" s="29"/>
      <c r="Z846" s="29"/>
      <c r="AA846"/>
      <c r="AB846"/>
      <c r="AC846"/>
    </row>
    <row r="868" spans="2:29" s="61" customFormat="1" x14ac:dyDescent="0.25">
      <c r="B868" s="28"/>
      <c r="C868"/>
      <c r="D868"/>
      <c r="E868" s="1"/>
      <c r="F868" s="1"/>
      <c r="G868" s="41"/>
      <c r="H868" s="41"/>
      <c r="I868" s="41"/>
      <c r="J868" s="41"/>
      <c r="K868" s="42"/>
      <c r="L868" s="28"/>
      <c r="M868" s="28"/>
      <c r="N868" s="41"/>
      <c r="O868" s="29"/>
      <c r="P868" s="41"/>
      <c r="Q868" s="43"/>
      <c r="R868" s="29"/>
      <c r="S868" s="44"/>
      <c r="T868" s="44"/>
      <c r="U868" s="44"/>
      <c r="V868" s="29"/>
      <c r="W868" s="29"/>
      <c r="X868" s="29"/>
      <c r="Y868" s="29"/>
      <c r="Z868" s="29"/>
      <c r="AA868"/>
      <c r="AB868"/>
      <c r="AC868"/>
    </row>
    <row r="874" spans="2:29" s="61" customFormat="1" x14ac:dyDescent="0.25">
      <c r="B874" s="28"/>
      <c r="C874"/>
      <c r="D874"/>
      <c r="E874" s="1"/>
      <c r="F874" s="1"/>
      <c r="G874" s="41"/>
      <c r="H874" s="41"/>
      <c r="I874" s="41"/>
      <c r="J874" s="41"/>
      <c r="K874" s="42"/>
      <c r="L874" s="28"/>
      <c r="M874" s="28"/>
      <c r="N874" s="41"/>
      <c r="O874" s="29"/>
      <c r="P874" s="41"/>
      <c r="Q874" s="43"/>
      <c r="R874" s="29"/>
      <c r="S874" s="44"/>
      <c r="T874" s="44"/>
      <c r="U874" s="44"/>
      <c r="V874" s="29"/>
      <c r="W874" s="29"/>
      <c r="X874" s="29"/>
      <c r="Y874" s="29"/>
      <c r="Z874" s="29"/>
      <c r="AA874"/>
      <c r="AB874"/>
      <c r="AC874"/>
    </row>
    <row r="876" spans="2:29" s="33" customFormat="1" x14ac:dyDescent="0.25">
      <c r="B876" s="28"/>
      <c r="C876"/>
      <c r="D876"/>
      <c r="E876" s="1"/>
      <c r="F876" s="1"/>
      <c r="G876" s="41"/>
      <c r="H876" s="41"/>
      <c r="I876" s="41"/>
      <c r="J876" s="41"/>
      <c r="K876" s="42"/>
      <c r="L876" s="28"/>
      <c r="M876" s="28"/>
      <c r="N876" s="41"/>
      <c r="O876" s="29"/>
      <c r="P876" s="41"/>
      <c r="Q876" s="43"/>
      <c r="R876" s="29"/>
      <c r="S876" s="44"/>
      <c r="T876" s="44"/>
      <c r="U876" s="44"/>
      <c r="V876" s="29"/>
      <c r="W876" s="29"/>
      <c r="X876" s="29"/>
      <c r="Y876" s="29"/>
      <c r="Z876" s="29"/>
      <c r="AA876"/>
      <c r="AB876"/>
      <c r="AC876"/>
    </row>
    <row r="924" spans="2:29" s="61" customFormat="1" x14ac:dyDescent="0.25">
      <c r="B924" s="28"/>
      <c r="C924"/>
      <c r="D924"/>
      <c r="E924" s="1"/>
      <c r="F924" s="1"/>
      <c r="G924" s="41"/>
      <c r="H924" s="41"/>
      <c r="I924" s="41"/>
      <c r="J924" s="41"/>
      <c r="K924" s="42"/>
      <c r="L924" s="28"/>
      <c r="M924" s="28"/>
      <c r="N924" s="41"/>
      <c r="O924" s="29"/>
      <c r="P924" s="41"/>
      <c r="Q924" s="43"/>
      <c r="R924" s="29"/>
      <c r="S924" s="44"/>
      <c r="T924" s="44"/>
      <c r="U924" s="44"/>
      <c r="V924" s="29"/>
      <c r="W924" s="29"/>
      <c r="X924" s="29"/>
      <c r="Y924" s="29"/>
      <c r="Z924" s="29"/>
      <c r="AA924"/>
      <c r="AB924"/>
      <c r="AC924"/>
    </row>
    <row r="928" spans="2:29" s="60" customFormat="1" x14ac:dyDescent="0.25">
      <c r="B928" s="28"/>
      <c r="C928"/>
      <c r="D928"/>
      <c r="E928" s="1"/>
      <c r="F928" s="1"/>
      <c r="G928" s="41"/>
      <c r="H928" s="41"/>
      <c r="I928" s="41"/>
      <c r="J928" s="41"/>
      <c r="K928" s="42"/>
      <c r="L928" s="28"/>
      <c r="M928" s="28"/>
      <c r="N928" s="41"/>
      <c r="O928" s="29"/>
      <c r="P928" s="41"/>
      <c r="Q928" s="43"/>
      <c r="R928" s="29"/>
      <c r="S928" s="44"/>
      <c r="T928" s="44"/>
      <c r="U928" s="44"/>
      <c r="V928" s="29"/>
      <c r="W928" s="29"/>
      <c r="X928" s="29"/>
      <c r="Y928" s="29"/>
      <c r="Z928" s="29"/>
      <c r="AA928"/>
      <c r="AB928"/>
      <c r="AC928"/>
    </row>
    <row r="943" spans="2:29" s="33" customFormat="1" x14ac:dyDescent="0.25">
      <c r="B943" s="28"/>
      <c r="C943"/>
      <c r="D943"/>
      <c r="E943" s="1"/>
      <c r="F943" s="1"/>
      <c r="G943" s="41"/>
      <c r="H943" s="41"/>
      <c r="I943" s="41"/>
      <c r="J943" s="41"/>
      <c r="K943" s="42"/>
      <c r="L943" s="28"/>
      <c r="M943" s="28"/>
      <c r="N943" s="41"/>
      <c r="O943" s="29"/>
      <c r="P943" s="41"/>
      <c r="Q943" s="43"/>
      <c r="R943" s="29"/>
      <c r="S943" s="44"/>
      <c r="T943" s="44"/>
      <c r="U943" s="44"/>
      <c r="V943" s="29"/>
      <c r="W943" s="29"/>
      <c r="X943" s="29"/>
      <c r="Y943" s="29"/>
      <c r="Z943" s="29"/>
      <c r="AA943"/>
      <c r="AB943"/>
      <c r="AC943"/>
    </row>
    <row r="951" spans="2:29" x14ac:dyDescent="0.25">
      <c r="B951" s="54"/>
      <c r="C951" s="33"/>
      <c r="D951" s="33"/>
      <c r="E951" s="51"/>
      <c r="F951" s="51"/>
      <c r="G951" s="52"/>
      <c r="H951" s="52"/>
      <c r="I951" s="52"/>
      <c r="J951" s="52"/>
      <c r="K951" s="53"/>
      <c r="L951" s="54"/>
      <c r="M951" s="54"/>
      <c r="N951" s="52"/>
      <c r="O951" s="55"/>
      <c r="P951" s="52"/>
      <c r="Q951" s="56"/>
      <c r="R951" s="55"/>
      <c r="S951" s="57"/>
      <c r="T951" s="57"/>
      <c r="U951" s="57"/>
      <c r="V951" s="55"/>
      <c r="W951" s="55"/>
      <c r="X951" s="55"/>
      <c r="Y951" s="55"/>
      <c r="Z951" s="55"/>
      <c r="AA951" s="33"/>
      <c r="AB951" s="33"/>
      <c r="AC951" s="33"/>
    </row>
    <row r="1117" spans="2:29" s="33" customFormat="1" x14ac:dyDescent="0.25">
      <c r="B1117" s="28"/>
      <c r="C1117"/>
      <c r="D1117"/>
      <c r="E1117" s="1"/>
      <c r="F1117" s="1"/>
      <c r="G1117" s="41"/>
      <c r="H1117" s="41"/>
      <c r="I1117" s="41"/>
      <c r="J1117" s="41"/>
      <c r="K1117" s="42"/>
      <c r="L1117" s="28"/>
      <c r="M1117" s="28"/>
      <c r="N1117" s="41"/>
      <c r="O1117" s="29"/>
      <c r="P1117" s="41"/>
      <c r="Q1117" s="43"/>
      <c r="R1117" s="29"/>
      <c r="S1117" s="44"/>
      <c r="T1117" s="44"/>
      <c r="U1117" s="44"/>
      <c r="V1117" s="29"/>
      <c r="W1117" s="29"/>
      <c r="X1117" s="29"/>
      <c r="Y1117" s="29"/>
      <c r="Z1117" s="29"/>
      <c r="AA1117"/>
      <c r="AB1117"/>
      <c r="AC1117"/>
    </row>
    <row r="1134" spans="2:29" s="61" customFormat="1" x14ac:dyDescent="0.25">
      <c r="B1134" s="28"/>
      <c r="C1134"/>
      <c r="D1134"/>
      <c r="E1134" s="1"/>
      <c r="F1134" s="1"/>
      <c r="G1134" s="41"/>
      <c r="H1134" s="41"/>
      <c r="I1134" s="41"/>
      <c r="J1134" s="41"/>
      <c r="K1134" s="42"/>
      <c r="L1134" s="28"/>
      <c r="M1134" s="28"/>
      <c r="N1134" s="41"/>
      <c r="O1134" s="29"/>
      <c r="P1134" s="41"/>
      <c r="Q1134" s="43"/>
      <c r="R1134" s="29"/>
      <c r="S1134" s="44"/>
      <c r="T1134" s="44"/>
      <c r="U1134" s="44"/>
      <c r="V1134" s="29"/>
      <c r="W1134" s="29"/>
      <c r="X1134" s="29"/>
      <c r="Y1134" s="29"/>
      <c r="Z1134" s="29"/>
      <c r="AA1134"/>
      <c r="AB1134"/>
      <c r="AC1134"/>
    </row>
    <row r="1135" spans="2:29" s="33" customFormat="1" x14ac:dyDescent="0.25">
      <c r="B1135" s="28"/>
      <c r="C1135"/>
      <c r="D1135"/>
      <c r="E1135" s="1"/>
      <c r="F1135" s="1"/>
      <c r="G1135" s="41"/>
      <c r="H1135" s="41"/>
      <c r="I1135" s="41"/>
      <c r="J1135" s="41"/>
      <c r="K1135" s="42"/>
      <c r="L1135" s="28"/>
      <c r="M1135" s="28"/>
      <c r="N1135" s="41"/>
      <c r="O1135" s="29"/>
      <c r="P1135" s="41"/>
      <c r="Q1135" s="43"/>
      <c r="R1135" s="29"/>
      <c r="S1135" s="44"/>
      <c r="T1135" s="44"/>
      <c r="U1135" s="44"/>
      <c r="V1135" s="29"/>
      <c r="W1135" s="29"/>
      <c r="X1135" s="29"/>
      <c r="Y1135" s="29"/>
      <c r="Z1135" s="29"/>
      <c r="AA1135"/>
      <c r="AB1135"/>
      <c r="AC1135"/>
    </row>
    <row r="1141" spans="2:29" x14ac:dyDescent="0.25">
      <c r="B1141" s="54"/>
      <c r="C1141" s="33"/>
      <c r="D1141" s="33"/>
      <c r="E1141" s="51"/>
      <c r="F1141" s="51"/>
      <c r="G1141" s="52"/>
      <c r="H1141" s="52"/>
      <c r="I1141" s="52"/>
      <c r="J1141" s="52"/>
      <c r="K1141" s="53"/>
      <c r="L1141" s="54"/>
      <c r="M1141" s="54"/>
      <c r="N1141" s="52"/>
      <c r="O1141" s="55"/>
      <c r="P1141" s="52"/>
      <c r="Q1141" s="56"/>
      <c r="R1141" s="55"/>
      <c r="S1141" s="57"/>
      <c r="T1141" s="57"/>
      <c r="U1141" s="57"/>
      <c r="V1141" s="55"/>
      <c r="W1141" s="55"/>
      <c r="X1141" s="55"/>
      <c r="Y1141" s="55"/>
      <c r="Z1141" s="55"/>
      <c r="AA1141" s="33"/>
      <c r="AB1141" s="33"/>
      <c r="AC1141" s="33"/>
    </row>
    <row r="1159" spans="2:29" s="61" customFormat="1" x14ac:dyDescent="0.25">
      <c r="B1159" s="28"/>
      <c r="C1159"/>
      <c r="D1159"/>
      <c r="E1159" s="1"/>
      <c r="F1159" s="1"/>
      <c r="G1159" s="41"/>
      <c r="H1159" s="41"/>
      <c r="I1159" s="41"/>
      <c r="J1159" s="41"/>
      <c r="K1159" s="42"/>
      <c r="L1159" s="28"/>
      <c r="M1159" s="28"/>
      <c r="N1159" s="41"/>
      <c r="O1159" s="29"/>
      <c r="P1159" s="41"/>
      <c r="Q1159" s="43"/>
      <c r="R1159" s="29"/>
      <c r="S1159" s="44"/>
      <c r="T1159" s="44"/>
      <c r="U1159" s="44"/>
      <c r="V1159" s="29"/>
      <c r="W1159" s="29"/>
      <c r="X1159" s="29"/>
      <c r="Y1159" s="29"/>
      <c r="Z1159" s="29"/>
      <c r="AA1159"/>
      <c r="AB1159"/>
      <c r="AC1159"/>
    </row>
    <row r="1162" spans="2:29" s="33" customFormat="1" x14ac:dyDescent="0.25">
      <c r="B1162" s="28"/>
      <c r="C1162"/>
      <c r="D1162"/>
      <c r="E1162" s="1"/>
      <c r="F1162" s="1"/>
      <c r="G1162" s="41"/>
      <c r="H1162" s="41"/>
      <c r="I1162" s="41"/>
      <c r="J1162" s="41"/>
      <c r="K1162" s="42"/>
      <c r="L1162" s="28"/>
      <c r="M1162" s="28"/>
      <c r="N1162" s="41"/>
      <c r="O1162" s="29"/>
      <c r="P1162" s="41"/>
      <c r="Q1162" s="43"/>
      <c r="R1162" s="29"/>
      <c r="S1162" s="44"/>
      <c r="T1162" s="44"/>
      <c r="U1162" s="44"/>
      <c r="V1162" s="29"/>
      <c r="W1162" s="29"/>
      <c r="X1162" s="29"/>
      <c r="Y1162" s="29"/>
      <c r="Z1162" s="29"/>
      <c r="AA1162"/>
      <c r="AB1162"/>
      <c r="AC1162"/>
    </row>
    <row r="1231" spans="2:29" s="61" customFormat="1" x14ac:dyDescent="0.25">
      <c r="B1231" s="28"/>
      <c r="C1231"/>
      <c r="D1231"/>
      <c r="E1231" s="1"/>
      <c r="F1231" s="1"/>
      <c r="G1231" s="41"/>
      <c r="H1231" s="41"/>
      <c r="I1231" s="41"/>
      <c r="J1231" s="41"/>
      <c r="K1231" s="42"/>
      <c r="L1231" s="28"/>
      <c r="M1231" s="28"/>
      <c r="N1231" s="41"/>
      <c r="O1231" s="29"/>
      <c r="P1231" s="41"/>
      <c r="Q1231" s="43"/>
      <c r="R1231" s="29"/>
      <c r="S1231" s="44"/>
      <c r="T1231" s="44"/>
      <c r="U1231" s="44"/>
      <c r="V1231" s="29"/>
      <c r="W1231" s="29"/>
      <c r="X1231" s="29"/>
      <c r="Y1231" s="29"/>
      <c r="Z1231" s="29"/>
      <c r="AA1231"/>
      <c r="AB1231"/>
      <c r="AC1231"/>
    </row>
    <row r="1279" spans="2:29" s="61" customFormat="1" x14ac:dyDescent="0.25">
      <c r="B1279" s="28"/>
      <c r="C1279"/>
      <c r="D1279"/>
      <c r="E1279" s="1"/>
      <c r="F1279" s="1"/>
      <c r="G1279" s="41"/>
      <c r="H1279" s="41"/>
      <c r="I1279" s="41"/>
      <c r="J1279" s="41"/>
      <c r="K1279" s="42"/>
      <c r="L1279" s="28"/>
      <c r="M1279" s="28"/>
      <c r="N1279" s="41"/>
      <c r="O1279" s="29"/>
      <c r="P1279" s="41"/>
      <c r="Q1279" s="43"/>
      <c r="R1279" s="29"/>
      <c r="S1279" s="44"/>
      <c r="T1279" s="44"/>
      <c r="U1279" s="44"/>
      <c r="V1279" s="29"/>
      <c r="W1279" s="29"/>
      <c r="X1279" s="29"/>
      <c r="Y1279" s="29"/>
      <c r="Z1279" s="29"/>
      <c r="AA1279"/>
      <c r="AB1279"/>
      <c r="AC1279"/>
    </row>
    <row r="1308" spans="2:29" s="33" customFormat="1" x14ac:dyDescent="0.25">
      <c r="B1308" s="28"/>
      <c r="C1308"/>
      <c r="D1308"/>
      <c r="E1308" s="1"/>
      <c r="F1308" s="1"/>
      <c r="G1308" s="41"/>
      <c r="H1308" s="41"/>
      <c r="I1308" s="41"/>
      <c r="J1308" s="41"/>
      <c r="K1308" s="42"/>
      <c r="L1308" s="28"/>
      <c r="M1308" s="28"/>
      <c r="N1308" s="41"/>
      <c r="O1308" s="29"/>
      <c r="P1308" s="41"/>
      <c r="Q1308" s="43"/>
      <c r="R1308" s="29"/>
      <c r="S1308" s="44"/>
      <c r="T1308" s="44"/>
      <c r="U1308" s="44"/>
      <c r="V1308" s="29"/>
      <c r="W1308" s="29"/>
      <c r="X1308" s="29"/>
      <c r="Y1308" s="29"/>
      <c r="Z1308" s="29"/>
      <c r="AA1308"/>
      <c r="AB1308"/>
      <c r="AC1308"/>
    </row>
    <row r="3798" spans="2:29" s="33" customFormat="1" x14ac:dyDescent="0.25">
      <c r="B3798" s="28"/>
      <c r="C3798"/>
      <c r="D3798"/>
      <c r="E3798" s="1"/>
      <c r="F3798" s="1"/>
      <c r="G3798" s="41"/>
      <c r="H3798" s="41"/>
      <c r="I3798" s="41"/>
      <c r="J3798" s="41"/>
      <c r="K3798" s="42"/>
      <c r="L3798" s="28"/>
      <c r="M3798" s="28"/>
      <c r="N3798" s="41"/>
      <c r="O3798" s="29"/>
      <c r="P3798" s="41"/>
      <c r="Q3798" s="43"/>
      <c r="R3798" s="29"/>
      <c r="S3798" s="44"/>
      <c r="T3798" s="44"/>
      <c r="U3798" s="44"/>
      <c r="V3798" s="29"/>
      <c r="W3798" s="29"/>
      <c r="X3798" s="29"/>
      <c r="Y3798" s="29"/>
      <c r="Z3798" s="29"/>
      <c r="AA3798"/>
      <c r="AB3798"/>
      <c r="AC3798"/>
    </row>
  </sheetData>
  <autoFilter ref="B3:AC310" xr:uid="{00000000-0001-0000-0200-000000000000}">
    <filterColumn colId="2">
      <filters>
        <filter val="1"/>
        <filter val="2"/>
      </filters>
    </filterColumn>
  </autoFilter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Generador</vt:lpstr>
      <vt:lpstr>Hoja1</vt:lpstr>
      <vt:lpstr>Imput</vt:lpstr>
      <vt:lpstr>Output</vt:lpstr>
    </vt:vector>
  </TitlesOfParts>
  <Company>Banco Espirito Santo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Bloomberg Gestion User</dc:creator>
  <cp:lastModifiedBy>Victor Morales | Trea AM</cp:lastModifiedBy>
  <dcterms:created xsi:type="dcterms:W3CDTF">2020-09-15T11:08:29Z</dcterms:created>
  <dcterms:modified xsi:type="dcterms:W3CDTF">2023-09-18T09:20:14Z</dcterms:modified>
</cp:coreProperties>
</file>